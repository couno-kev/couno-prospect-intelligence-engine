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couno.sharepoint.com/Sales/Shared Documents/"/>
    </mc:Choice>
  </mc:AlternateContent>
  <xr:revisionPtr revIDLastSave="5139" documentId="8_{D446AA9A-4DF4-47A3-BD02-0EF677A4D5A2}" xr6:coauthVersionLast="47" xr6:coauthVersionMax="47" xr10:uidLastSave="{3AF18A0E-039A-4A1B-83E1-A8CEBF045A7D}"/>
  <bookViews>
    <workbookView xWindow="-120" yWindow="-120" windowWidth="29040" windowHeight="15720" xr2:uid="{99F8D444-9CA4-4412-B86D-B580E7FCE739}"/>
  </bookViews>
  <sheets>
    <sheet name="PBR" sheetId="5" r:id="rId1"/>
    <sheet name="Warm 250" sheetId="10" r:id="rId2"/>
    <sheet name="Not Right Now " sheetId="12" r:id="rId3"/>
  </sheets>
  <definedNames>
    <definedName name="Sourc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 i="12" l="1"/>
  <c r="F20" i="12"/>
  <c r="F18" i="12"/>
  <c r="N18" i="12" s="1"/>
  <c r="F19" i="12"/>
  <c r="N19" i="12" s="1"/>
  <c r="O56" i="10"/>
  <c r="O57" i="10"/>
  <c r="F59" i="10"/>
  <c r="G58" i="10"/>
  <c r="O58" i="10" s="1"/>
  <c r="G57" i="10"/>
  <c r="G56" i="10"/>
  <c r="G55" i="10"/>
  <c r="O55" i="10" s="1"/>
  <c r="F147" i="5" l="1"/>
  <c r="G146" i="5"/>
  <c r="O146" i="5"/>
  <c r="G145" i="5"/>
  <c r="G54" i="10"/>
  <c r="O54" i="10" s="1"/>
  <c r="G53" i="10" l="1"/>
  <c r="O53" i="10" s="1"/>
  <c r="G144" i="5"/>
  <c r="O144" i="5" s="1"/>
  <c r="G143" i="5"/>
  <c r="O143" i="5" s="1"/>
  <c r="G142" i="5"/>
  <c r="O142" i="5" s="1"/>
  <c r="G141" i="5"/>
  <c r="O141" i="5" s="1"/>
  <c r="H147" i="5"/>
  <c r="G52" i="10"/>
  <c r="O52" i="10" s="1"/>
  <c r="G51" i="10"/>
  <c r="O51" i="10" s="1"/>
  <c r="G50" i="10"/>
  <c r="O50" i="10" s="1"/>
  <c r="G49" i="10"/>
  <c r="O49" i="10" s="1"/>
  <c r="G48" i="10"/>
  <c r="O48" i="10" s="1"/>
  <c r="G47" i="10"/>
  <c r="O47" i="10" s="1"/>
  <c r="G46" i="10"/>
  <c r="O46" i="10" s="1"/>
  <c r="G45" i="10"/>
  <c r="O45" i="10" s="1"/>
  <c r="G27" i="10"/>
  <c r="O27" i="10" s="1"/>
  <c r="N6" i="12" l="1"/>
  <c r="G21" i="12"/>
  <c r="F17" i="12"/>
  <c r="N17" i="12" s="1"/>
  <c r="F16" i="12"/>
  <c r="N16" i="12" s="1"/>
  <c r="F15" i="12"/>
  <c r="N15" i="12" s="1"/>
  <c r="F14" i="12"/>
  <c r="N14" i="12" s="1"/>
  <c r="F13" i="12"/>
  <c r="N13" i="12" s="1"/>
  <c r="F12" i="12"/>
  <c r="N12" i="12" s="1"/>
  <c r="F11" i="12"/>
  <c r="F10" i="12"/>
  <c r="N10" i="12" s="1"/>
  <c r="F9" i="12"/>
  <c r="N9" i="12" s="1"/>
  <c r="F8" i="12"/>
  <c r="N8" i="12" s="1"/>
  <c r="F7" i="12"/>
  <c r="N7" i="12" s="1"/>
  <c r="F5" i="12"/>
  <c r="G44" i="10"/>
  <c r="O44" i="10" s="1"/>
  <c r="G43" i="10"/>
  <c r="O43" i="10" s="1"/>
  <c r="G42" i="10"/>
  <c r="O42" i="10" s="1"/>
  <c r="G41" i="10"/>
  <c r="O41" i="10" s="1"/>
  <c r="G40" i="10"/>
  <c r="O40" i="10" s="1"/>
  <c r="G39" i="10"/>
  <c r="O39" i="10" s="1"/>
  <c r="G38" i="10"/>
  <c r="O38" i="10" s="1"/>
  <c r="N5" i="12" l="1"/>
  <c r="F21" i="12"/>
  <c r="N11" i="12"/>
  <c r="G123" i="5"/>
  <c r="O123" i="5" s="1"/>
  <c r="G124" i="5"/>
  <c r="O124" i="5" s="1"/>
  <c r="G125" i="5"/>
  <c r="O125" i="5" s="1"/>
  <c r="G126" i="5"/>
  <c r="O126" i="5" s="1"/>
  <c r="G127" i="5"/>
  <c r="O127" i="5" s="1"/>
  <c r="G128" i="5"/>
  <c r="O128" i="5" s="1"/>
  <c r="G129" i="5"/>
  <c r="O129" i="5" s="1"/>
  <c r="G130" i="5"/>
  <c r="O130" i="5" s="1"/>
  <c r="G131" i="5"/>
  <c r="O131" i="5" s="1"/>
  <c r="G132" i="5"/>
  <c r="O132" i="5" s="1"/>
  <c r="G133" i="5"/>
  <c r="O133" i="5" s="1"/>
  <c r="G134" i="5"/>
  <c r="O134" i="5" s="1"/>
  <c r="G135" i="5"/>
  <c r="O135" i="5" s="1"/>
  <c r="G136" i="5"/>
  <c r="O136" i="5" s="1"/>
  <c r="G137" i="5"/>
  <c r="O137" i="5" s="1"/>
  <c r="G138" i="5"/>
  <c r="O138" i="5" s="1"/>
  <c r="G139" i="5"/>
  <c r="O139" i="5" s="1"/>
  <c r="G140" i="5"/>
  <c r="O140" i="5" s="1"/>
  <c r="G110" i="5"/>
  <c r="O110" i="5" s="1"/>
  <c r="G111" i="5"/>
  <c r="O111" i="5" s="1"/>
  <c r="G112" i="5"/>
  <c r="O112" i="5" s="1"/>
  <c r="G113" i="5"/>
  <c r="O113" i="5" s="1"/>
  <c r="G114" i="5"/>
  <c r="O114" i="5" s="1"/>
  <c r="G115" i="5"/>
  <c r="O115" i="5" s="1"/>
  <c r="G116" i="5"/>
  <c r="O116" i="5" s="1"/>
  <c r="G117" i="5"/>
  <c r="O117" i="5" s="1"/>
  <c r="G118" i="5"/>
  <c r="O118" i="5" s="1"/>
  <c r="G119" i="5"/>
  <c r="O119" i="5" s="1"/>
  <c r="G120" i="5"/>
  <c r="O120" i="5" s="1"/>
  <c r="G121" i="5"/>
  <c r="O121" i="5" s="1"/>
  <c r="G122" i="5"/>
  <c r="O122" i="5" s="1"/>
  <c r="G14" i="5"/>
  <c r="O14" i="5" s="1"/>
  <c r="F15" i="5"/>
  <c r="G37" i="10"/>
  <c r="O37" i="10" s="1"/>
  <c r="G36" i="10"/>
  <c r="O36" i="10" s="1"/>
  <c r="G35" i="10"/>
  <c r="O35" i="10" s="1"/>
  <c r="G41" i="5"/>
  <c r="O41" i="5" s="1"/>
  <c r="H59" i="10"/>
  <c r="G34" i="10"/>
  <c r="O34" i="10" s="1"/>
  <c r="G33" i="10"/>
  <c r="O33" i="10" s="1"/>
  <c r="G32" i="10"/>
  <c r="O32" i="10" s="1"/>
  <c r="G13" i="5"/>
  <c r="O13" i="5" s="1"/>
  <c r="G31" i="10" l="1"/>
  <c r="O31" i="10" s="1"/>
  <c r="G106" i="5"/>
  <c r="O106" i="5" s="1"/>
  <c r="G30" i="10" l="1"/>
  <c r="O30" i="10" s="1"/>
  <c r="G29" i="10"/>
  <c r="O29" i="10" s="1"/>
  <c r="G28" i="10" l="1"/>
  <c r="O28" i="10" s="1"/>
  <c r="G78" i="5" l="1"/>
  <c r="O78" i="5" s="1"/>
  <c r="G79" i="5"/>
  <c r="O79" i="5" s="1"/>
  <c r="G80" i="5"/>
  <c r="O80" i="5" s="1"/>
  <c r="G81" i="5"/>
  <c r="O81" i="5" s="1"/>
  <c r="G82" i="5"/>
  <c r="O82" i="5" s="1"/>
  <c r="G83" i="5"/>
  <c r="O83" i="5" s="1"/>
  <c r="G84" i="5"/>
  <c r="O84" i="5" s="1"/>
  <c r="G85" i="5"/>
  <c r="O85" i="5" s="1"/>
  <c r="G86" i="5"/>
  <c r="O86" i="5" s="1"/>
  <c r="G87" i="5"/>
  <c r="O87" i="5" s="1"/>
  <c r="G88" i="5"/>
  <c r="O88" i="5" s="1"/>
  <c r="G89" i="5"/>
  <c r="O89" i="5" s="1"/>
  <c r="G90" i="5"/>
  <c r="O90" i="5" s="1"/>
  <c r="G91" i="5"/>
  <c r="O91" i="5" s="1"/>
  <c r="G92" i="5"/>
  <c r="O92" i="5" s="1"/>
  <c r="G93" i="5"/>
  <c r="O93" i="5" s="1"/>
  <c r="G94" i="5"/>
  <c r="O94" i="5" s="1"/>
  <c r="G95" i="5"/>
  <c r="O95" i="5" s="1"/>
  <c r="G96" i="5"/>
  <c r="O96" i="5" s="1"/>
  <c r="G97" i="5"/>
  <c r="O97" i="5" s="1"/>
  <c r="G98" i="5"/>
  <c r="O98" i="5" s="1"/>
  <c r="G99" i="5"/>
  <c r="O99" i="5" s="1"/>
  <c r="G100" i="5"/>
  <c r="O100" i="5" s="1"/>
  <c r="G101" i="5"/>
  <c r="O101" i="5" s="1"/>
  <c r="G102" i="5"/>
  <c r="O102" i="5" s="1"/>
  <c r="G103" i="5"/>
  <c r="O103" i="5" s="1"/>
  <c r="G104" i="5"/>
  <c r="O104" i="5" s="1"/>
  <c r="G105" i="5"/>
  <c r="O105" i="5" s="1"/>
  <c r="G107" i="5"/>
  <c r="O107" i="5" s="1"/>
  <c r="G108" i="5"/>
  <c r="O108" i="5" s="1"/>
  <c r="G109" i="5"/>
  <c r="O109" i="5" s="1"/>
  <c r="G26" i="10"/>
  <c r="O26" i="10" s="1"/>
  <c r="G12" i="5"/>
  <c r="O12" i="5" s="1"/>
  <c r="G12" i="10"/>
  <c r="O12" i="10" s="1"/>
  <c r="G13" i="10"/>
  <c r="O13" i="10" s="1"/>
  <c r="G14" i="10"/>
  <c r="O14" i="10" s="1"/>
  <c r="G15" i="10"/>
  <c r="O15" i="10" s="1"/>
  <c r="G16" i="10"/>
  <c r="O16" i="10" s="1"/>
  <c r="G17" i="10"/>
  <c r="O17" i="10" s="1"/>
  <c r="G18" i="10"/>
  <c r="O18" i="10" s="1"/>
  <c r="G19" i="10"/>
  <c r="O19" i="10" s="1"/>
  <c r="G20" i="10"/>
  <c r="O20" i="10" s="1"/>
  <c r="G21" i="10"/>
  <c r="O21" i="10" s="1"/>
  <c r="G22" i="10"/>
  <c r="O22" i="10" s="1"/>
  <c r="G23" i="10"/>
  <c r="O23" i="10" s="1"/>
  <c r="G24" i="10"/>
  <c r="O24" i="10" s="1"/>
  <c r="G25" i="10"/>
  <c r="O25" i="10" s="1"/>
  <c r="G11" i="10"/>
  <c r="F169" i="5"/>
  <c r="G59" i="10" l="1"/>
  <c r="O11" i="10"/>
  <c r="O59" i="10" s="1"/>
  <c r="G165" i="5"/>
  <c r="M165" i="5" s="1"/>
  <c r="G76" i="5"/>
  <c r="O76" i="5" s="1"/>
  <c r="G77" i="5"/>
  <c r="O77" i="5" s="1"/>
  <c r="G69" i="5"/>
  <c r="O69" i="5" s="1"/>
  <c r="G70" i="5"/>
  <c r="O70" i="5" s="1"/>
  <c r="G71" i="5"/>
  <c r="O71" i="5" s="1"/>
  <c r="G72" i="5"/>
  <c r="O72" i="5" s="1"/>
  <c r="G73" i="5"/>
  <c r="O73" i="5" s="1"/>
  <c r="G74" i="5"/>
  <c r="O74" i="5" s="1"/>
  <c r="G75" i="5"/>
  <c r="O75" i="5" s="1"/>
  <c r="G63" i="5"/>
  <c r="O63" i="5" s="1"/>
  <c r="G64" i="5"/>
  <c r="O64" i="5" s="1"/>
  <c r="G65" i="5"/>
  <c r="O65" i="5" s="1"/>
  <c r="G66" i="5"/>
  <c r="O66" i="5" s="1"/>
  <c r="G67" i="5"/>
  <c r="O67" i="5" s="1"/>
  <c r="G68" i="5"/>
  <c r="O68" i="5" s="1"/>
  <c r="G62" i="5"/>
  <c r="O62" i="5" s="1"/>
  <c r="G28" i="5"/>
  <c r="O28" i="5" s="1"/>
  <c r="F6" i="5"/>
  <c r="J5" i="5"/>
  <c r="J6" i="5"/>
  <c r="G6" i="5"/>
  <c r="H6" i="5"/>
  <c r="C8" i="10"/>
  <c r="R17" i="10" s="1"/>
  <c r="J3" i="5"/>
  <c r="G35" i="5"/>
  <c r="O35" i="5" s="1"/>
  <c r="G33" i="5"/>
  <c r="O33" i="5" s="1"/>
  <c r="G34" i="5"/>
  <c r="O34" i="5" s="1"/>
  <c r="G50" i="5"/>
  <c r="O50" i="5" s="1"/>
  <c r="G47" i="5"/>
  <c r="O47" i="5" s="1"/>
  <c r="G46" i="5"/>
  <c r="O46" i="5" s="1"/>
  <c r="M154" i="5"/>
  <c r="F162" i="5"/>
  <c r="G162" i="5"/>
  <c r="H164" i="5"/>
  <c r="H169" i="5" s="1"/>
  <c r="M164" i="5"/>
  <c r="G39" i="5"/>
  <c r="O39" i="5" s="1"/>
  <c r="G40" i="5"/>
  <c r="O40" i="5" s="1"/>
  <c r="G42" i="5"/>
  <c r="O42" i="5" s="1"/>
  <c r="G43" i="5"/>
  <c r="O43" i="5" s="1"/>
  <c r="G44" i="5"/>
  <c r="O44" i="5" s="1"/>
  <c r="G45" i="5"/>
  <c r="O45" i="5" s="1"/>
  <c r="G48" i="5"/>
  <c r="O48" i="5" s="1"/>
  <c r="G49" i="5"/>
  <c r="O49" i="5" s="1"/>
  <c r="G51" i="5"/>
  <c r="O51" i="5" s="1"/>
  <c r="G52" i="5"/>
  <c r="O52" i="5" s="1"/>
  <c r="G53" i="5"/>
  <c r="O53" i="5" s="1"/>
  <c r="G54" i="5"/>
  <c r="O54" i="5" s="1"/>
  <c r="G55" i="5"/>
  <c r="G56" i="5"/>
  <c r="G57" i="5"/>
  <c r="G58" i="5"/>
  <c r="O58" i="5" s="1"/>
  <c r="G59" i="5"/>
  <c r="O59" i="5" s="1"/>
  <c r="G60" i="5"/>
  <c r="O60" i="5" s="1"/>
  <c r="G61" i="5"/>
  <c r="O61" i="5" s="1"/>
  <c r="G38" i="5"/>
  <c r="O38" i="5" s="1"/>
  <c r="G36" i="5"/>
  <c r="O36" i="5" s="1"/>
  <c r="G37" i="5"/>
  <c r="O37" i="5" s="1"/>
  <c r="G19" i="5"/>
  <c r="G20" i="5"/>
  <c r="G21" i="5"/>
  <c r="O21" i="5" s="1"/>
  <c r="G22" i="5"/>
  <c r="O22" i="5" s="1"/>
  <c r="G23" i="5"/>
  <c r="O23" i="5" s="1"/>
  <c r="G24" i="5"/>
  <c r="O24" i="5" s="1"/>
  <c r="G25" i="5"/>
  <c r="O25" i="5" s="1"/>
  <c r="G26" i="5"/>
  <c r="O26" i="5" s="1"/>
  <c r="G27" i="5"/>
  <c r="O27" i="5" s="1"/>
  <c r="G29" i="5"/>
  <c r="O29" i="5" s="1"/>
  <c r="G30" i="5"/>
  <c r="O30" i="5" s="1"/>
  <c r="G31" i="5"/>
  <c r="O31" i="5" s="1"/>
  <c r="G32" i="5"/>
  <c r="O32" i="5" s="1"/>
  <c r="O20" i="5" l="1"/>
  <c r="N20" i="12"/>
  <c r="N21" i="12" s="1"/>
  <c r="O57" i="5"/>
  <c r="O56" i="5"/>
  <c r="G147" i="5"/>
  <c r="O55" i="5"/>
  <c r="O19" i="5"/>
  <c r="G169" i="5"/>
  <c r="G171" i="5" s="1"/>
  <c r="M169" i="5"/>
  <c r="N6" i="5"/>
  <c r="R16" i="10"/>
  <c r="R15" i="10"/>
  <c r="R12" i="10"/>
  <c r="R13" i="10"/>
  <c r="R14" i="10"/>
  <c r="R11" i="10"/>
  <c r="R18" i="10"/>
  <c r="F171" i="5"/>
  <c r="H15" i="5"/>
  <c r="G11" i="5"/>
  <c r="O11" i="5" s="1"/>
  <c r="G10" i="5"/>
  <c r="G15" i="5" l="1"/>
  <c r="N5" i="5"/>
  <c r="P5" i="5" s="1"/>
  <c r="P6" i="5"/>
  <c r="O10" i="5"/>
  <c r="O15" i="5" s="1"/>
  <c r="H161" i="5" l="1"/>
  <c r="M161" i="5"/>
  <c r="M155" i="5"/>
  <c r="M156" i="5"/>
  <c r="M157" i="5"/>
  <c r="M158" i="5"/>
  <c r="M159" i="5"/>
  <c r="M160" i="5"/>
  <c r="H159" i="5"/>
  <c r="H160" i="5"/>
  <c r="D5" i="5"/>
  <c r="M162" i="5" l="1"/>
  <c r="M171" i="5" s="1"/>
  <c r="H158" i="5"/>
  <c r="H157" i="5" l="1"/>
  <c r="H156" i="5"/>
  <c r="H155" i="5"/>
  <c r="H154" i="5"/>
  <c r="E6" i="5"/>
  <c r="H162" i="5" l="1"/>
  <c r="H171" i="5" s="1"/>
  <c r="O145" i="5"/>
  <c r="O147"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Maryann Lucks</author>
  </authors>
  <commentList>
    <comment ref="C8" authorId="0" shapeId="0" xr:uid="{6D4D3B66-E59F-41B5-B576-DFBEC2D09E84}">
      <text>
        <r>
          <rPr>
            <b/>
            <sz val="9"/>
            <color indexed="81"/>
            <rFont val="Tahoma"/>
            <family val="2"/>
          </rPr>
          <t>Maryann Lucks:</t>
        </r>
        <r>
          <rPr>
            <sz val="9"/>
            <color indexed="81"/>
            <rFont val="Tahoma"/>
            <family val="2"/>
          </rPr>
          <t xml:space="preserve">
Top Sales Prospect. Must have Date of Next Step and higher than a 65% likely to close.</t>
        </r>
      </text>
    </comment>
    <comment ref="I9" authorId="0" shapeId="0" xr:uid="{BFAF4B98-8922-4E63-A126-6FE772FE9104}">
      <text>
        <r>
          <rPr>
            <b/>
            <sz val="9"/>
            <color indexed="81"/>
            <rFont val="Tahoma"/>
            <family val="2"/>
          </rPr>
          <t>Maryann Lucks:</t>
        </r>
        <r>
          <rPr>
            <sz val="9"/>
            <color indexed="81"/>
            <rFont val="Tahoma"/>
            <family val="2"/>
          </rPr>
          <t xml:space="preserve">
% of how likely the deal will close.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Maryann Lucks</author>
  </authors>
  <commentList>
    <comment ref="C9" authorId="0" shapeId="0" xr:uid="{833BBE46-1B1F-43B7-862F-DB1E729C12B9}">
      <text>
        <r>
          <rPr>
            <b/>
            <sz val="9"/>
            <color indexed="81"/>
            <rFont val="Tahoma"/>
            <family val="2"/>
          </rPr>
          <t>Maryann Lucks:</t>
        </r>
        <r>
          <rPr>
            <sz val="9"/>
            <color indexed="81"/>
            <rFont val="Tahoma"/>
            <family val="2"/>
          </rPr>
          <t xml:space="preserve">
Top Sales Prospect. Must have Date of Next Step and higher than a 65% likely to close.</t>
        </r>
      </text>
    </comment>
    <comment ref="I10" authorId="0" shapeId="0" xr:uid="{9DAFD25D-3CA3-4187-B699-7FEC6EBEDA29}">
      <text>
        <r>
          <rPr>
            <b/>
            <sz val="9"/>
            <color indexed="81"/>
            <rFont val="Tahoma"/>
            <family val="2"/>
          </rPr>
          <t>Maryann Lucks:</t>
        </r>
        <r>
          <rPr>
            <sz val="9"/>
            <color indexed="81"/>
            <rFont val="Tahoma"/>
            <family val="2"/>
          </rPr>
          <t xml:space="preserve">
% of how likely the deal will close.</t>
        </r>
      </text>
    </comment>
  </commentList>
</comments>
</file>

<file path=xl/sharedStrings.xml><?xml version="1.0" encoding="utf-8"?>
<sst xmlns="http://schemas.openxmlformats.org/spreadsheetml/2006/main" count="1445" uniqueCount="462">
  <si>
    <t>Couno IT Solutions PBR</t>
  </si>
  <si>
    <t xml:space="preserve">Suspect </t>
  </si>
  <si>
    <t xml:space="preserve">Prospect </t>
  </si>
  <si>
    <t>Starting MRR</t>
  </si>
  <si>
    <t>Q1</t>
  </si>
  <si>
    <t>Q2</t>
  </si>
  <si>
    <t>Q3</t>
  </si>
  <si>
    <t>Q4</t>
  </si>
  <si>
    <t>Warm 250</t>
  </si>
  <si>
    <t>MRR Goal</t>
  </si>
  <si>
    <t>Achieved</t>
  </si>
  <si>
    <t xml:space="preserve">Not a Fit </t>
  </si>
  <si>
    <t xml:space="preserve">MRR Above </t>
  </si>
  <si>
    <t xml:space="preserve">Need More Info </t>
  </si>
  <si>
    <t>(+/-) MRR Goal</t>
  </si>
  <si>
    <t>Could Not Reach</t>
  </si>
  <si>
    <t>Company Name</t>
  </si>
  <si>
    <t>Sales Rep</t>
  </si>
  <si>
    <t>Product</t>
  </si>
  <si>
    <t>Seats</t>
  </si>
  <si>
    <t>MRR (£) — Input</t>
  </si>
  <si>
    <t>AISP</t>
  </si>
  <si>
    <t>Close %</t>
  </si>
  <si>
    <t>Close Date</t>
  </si>
  <si>
    <t>Entered PBR</t>
  </si>
  <si>
    <t>Lead Source</t>
  </si>
  <si>
    <t>Date of Last Step</t>
  </si>
  <si>
    <t>Date of Next Step</t>
  </si>
  <si>
    <t>ARR</t>
  </si>
  <si>
    <t># of Meetings</t>
  </si>
  <si>
    <t>Notes</t>
  </si>
  <si>
    <t xml:space="preserve">Thorpe Hall Golf Club </t>
  </si>
  <si>
    <t xml:space="preserve">Connor Hayes </t>
  </si>
  <si>
    <t xml:space="preserve">Premium IT Support </t>
  </si>
  <si>
    <t>SDR</t>
  </si>
  <si>
    <t>Requested feedback from board and next steps</t>
  </si>
  <si>
    <t xml:space="preserve">Oberon Investment </t>
  </si>
  <si>
    <t>Premium IT Support - No Assurance</t>
  </si>
  <si>
    <t>31/11/2026</t>
  </si>
  <si>
    <t>Proposal submitted. Couno recommended. Board meeting RE Budget on the 30th April, Now running FCA reports delayed a little. Still boiling away a deal is to be done here</t>
  </si>
  <si>
    <t xml:space="preserve">Porte Consulting </t>
  </si>
  <si>
    <t>31/09/2026</t>
  </si>
  <si>
    <t xml:space="preserve">COI </t>
  </si>
  <si>
    <t>We are now in a budget conversation. Headcount likely to increase due to acquisitions on the table</t>
  </si>
  <si>
    <t xml:space="preserve">Atempo Growth </t>
  </si>
  <si>
    <t>Connor Hayes</t>
  </si>
  <si>
    <t>Premium IT Support</t>
  </si>
  <si>
    <t>Proposal subitted. Lauren requires a couple of weeks to catch up as they are hosting company AGM. We have come reccomended and in a good place</t>
  </si>
  <si>
    <t xml:space="preserve">Juno Funding </t>
  </si>
  <si>
    <t>31/06/2026</t>
  </si>
  <si>
    <t>15NBS</t>
  </si>
  <si>
    <t>Opportunity proposed as 1st draft. Further work to be carried out. Audit needed and need to have a meeting to qualify the security of the Barristers/Members</t>
  </si>
  <si>
    <t>Prospects Totals</t>
  </si>
  <si>
    <t xml:space="preserve"> </t>
  </si>
  <si>
    <r>
      <t xml:space="preserve">Suspects </t>
    </r>
    <r>
      <rPr>
        <b/>
        <i/>
        <sz val="11"/>
        <color theme="0"/>
        <rFont val="Calibri"/>
        <family val="2"/>
        <scheme val="minor"/>
      </rPr>
      <t>- You don’t know them and they don’t know you. Your goal is to put each suspect in a bucket as quickly as possible.</t>
    </r>
  </si>
  <si>
    <t>MRR</t>
  </si>
  <si>
    <t>Bucket</t>
  </si>
  <si>
    <t>Source</t>
  </si>
  <si>
    <t>Action</t>
  </si>
  <si>
    <t xml:space="preserve">Farringford Legal </t>
  </si>
  <si>
    <t>Webinar</t>
  </si>
  <si>
    <t xml:space="preserve">SRA Email sent, still cant get via phone </t>
  </si>
  <si>
    <t xml:space="preserve">City  Legal Solicitors </t>
  </si>
  <si>
    <t>Called 12/06 could not get through on any number. Followed up with an email call back schduled. +91 85476 15669 does not connect.</t>
  </si>
  <si>
    <t xml:space="preserve">Austin Jones Solicitors </t>
  </si>
  <si>
    <t>Ian is the decision maker. The reception desk is outsourced so try again. Called 16/06 Ian not available</t>
  </si>
  <si>
    <t xml:space="preserve">BWK Solicitors </t>
  </si>
  <si>
    <t>Tersa Fawcett-Mitchell is the correct contact as Parctice Director. We have also connected on LinkedIn They do have an external MSP. Mobile number is correct. Did not get through this afternoon left VM</t>
  </si>
  <si>
    <t xml:space="preserve">BDBF LLP </t>
  </si>
  <si>
    <t xml:space="preserve">Webinar </t>
  </si>
  <si>
    <t xml:space="preserve">Tom not the correct contact. Spoke with him today. Couldnt get much further. Back to drawing board. Found Brigitte. Call back set  </t>
  </si>
  <si>
    <t xml:space="preserve">Morrison Spowart </t>
  </si>
  <si>
    <t>AKITA are the company that look after the IT. Did not get Kristy today but she is the DM. Relationship has been in place a long time. called 17/06 on mobile number but straight to VM</t>
  </si>
  <si>
    <t xml:space="preserve">Guy Butler Limited </t>
  </si>
  <si>
    <t>Short conversation with Nick. They are currently in term with an MSP for 3 years, I couldnt get when it commenced. Try again 6 months time to get further information</t>
  </si>
  <si>
    <t>Amicable</t>
  </si>
  <si>
    <t>Backhouse Solicitors</t>
  </si>
  <si>
    <t>Hard no from Ben today. Simply not inerested. Try again or find a new way in. Ben is CFO</t>
  </si>
  <si>
    <t xml:space="preserve">1Hare Court </t>
  </si>
  <si>
    <t>Spoke to Charlie. He confirmed Rob is the man. called 09/06 hes on holiday. called 16/06 transferred but reached VM. try again</t>
  </si>
  <si>
    <t xml:space="preserve">1 Kings Bench Walk </t>
  </si>
  <si>
    <t>Nicola is confirmed PC. didn't contact today. They have IT in place but what that is remains unknown for now. No mobile number available. Email sent.</t>
  </si>
  <si>
    <t xml:space="preserve">Davitt Jones Bould </t>
  </si>
  <si>
    <t>Was unable to attend last webinar after sign up. Have not managed to connect since. Corp line dialed out, scraped mobile number tried that and went straight to vm call back set</t>
  </si>
  <si>
    <t xml:space="preserve">Silverpeak </t>
  </si>
  <si>
    <t>Number dialed out. call back set. Now connected on LinkedIn. She is connected to Hana Gray.  020 7529 5400 dialed out 12/06 call back set</t>
  </si>
  <si>
    <t xml:space="preserve">Sovereign Capital Partners </t>
  </si>
  <si>
    <t>Fasanara Capital</t>
  </si>
  <si>
    <t>Scraped a mobile but no luck on that today. I have follwed with an email. Called mobile reached VM</t>
  </si>
  <si>
    <t>Avantia Law</t>
  </si>
  <si>
    <t>Had response to email, trying to handle objection. Follow up scheduled</t>
  </si>
  <si>
    <t xml:space="preserve">Exigen Group </t>
  </si>
  <si>
    <t>Follow up email. They do have outsourced MSP. Been in contract approx 2 years. Information received from Ruby. Call attempt for Liran 19/06 line dialed out. ddi +44 20 7446 8573 just rings out. cb set</t>
  </si>
  <si>
    <t>Jury O'Shea</t>
  </si>
  <si>
    <t>Further notes added to Apollo. SMT deal with the decisions, Eva was helpful</t>
  </si>
  <si>
    <t xml:space="preserve">Makor Group </t>
  </si>
  <si>
    <t xml:space="preserve">Follow up with IT. Did get respnse, timing not right. </t>
  </si>
  <si>
    <t>Marriott Harrison</t>
  </si>
  <si>
    <t>No answer via corp line. Found mobile. This had call screening. Try again</t>
  </si>
  <si>
    <t xml:space="preserve">Sharegain </t>
  </si>
  <si>
    <t>the have a full in house IT Team. Safran confirmed that this will not change so not a fit right now. I did speak about the VAR model they have 2/3 vendors they work with at the moment. Something to keep in touch with</t>
  </si>
  <si>
    <t>TH Global Capital</t>
  </si>
  <si>
    <t xml:space="preserve">Titanbay </t>
  </si>
  <si>
    <t>call attempt 18/06 no mobile number so going via the corp number. Tried to connect me but couldnt get through as busy. Email sent</t>
  </si>
  <si>
    <t xml:space="preserve">Validus Risk Management </t>
  </si>
  <si>
    <t>Nick was offsite today visiting the new office which they will move in to next month. Call back set</t>
  </si>
  <si>
    <t>4PB</t>
  </si>
  <si>
    <t>Arrowpoint Investment Partners</t>
  </si>
  <si>
    <t xml:space="preserve">Invitation to webinar sent </t>
  </si>
  <si>
    <t xml:space="preserve">BCG Expand </t>
  </si>
  <si>
    <t>Invite sent for Webinar</t>
  </si>
  <si>
    <t xml:space="preserve">Cygnum Capital </t>
  </si>
  <si>
    <t>Office confirmed Dan now working from dubai office. Tried his mobile but got VM. Email sent, follow up scheduled</t>
  </si>
  <si>
    <t>AlphaReal</t>
  </si>
  <si>
    <t xml:space="preserve">Arini </t>
  </si>
  <si>
    <t xml:space="preserve">They use a company called Option. Have perm staff member on site (similar to Clearlake) Tom not the contact need to find Ops contact and keep away from IT. Tried Catherine Penklis, profile looked right mobile scraped +44 78 7684 7641 but not in service. </t>
  </si>
  <si>
    <t xml:space="preserve">EV-Financial Solutions </t>
  </si>
  <si>
    <t xml:space="preserve">Spoke to Faye. Chris qualified as correct contact. Tried to transfer but no luck LM. Webinar invite sent </t>
  </si>
  <si>
    <t xml:space="preserve">Fulcrum Asset Management </t>
  </si>
  <si>
    <t>Jago is the correct decision maker. They are just going through an office move so extremely busy. Touch base in a couple of weeks.</t>
  </si>
  <si>
    <t>Arma Partners</t>
  </si>
  <si>
    <t xml:space="preserve">Bad line but +44 20 7290 8101 is confirmed Lisa DDI. Call back set </t>
  </si>
  <si>
    <t>MASECO Private Wealth</t>
  </si>
  <si>
    <t>Tried mobile number today but forwarded straight to VM. Call back set</t>
  </si>
  <si>
    <t>Pinnacle Wealth Management</t>
  </si>
  <si>
    <t>S64</t>
  </si>
  <si>
    <t>Square Capital</t>
  </si>
  <si>
    <t xml:space="preserve">Webinar Invite sent for 10th </t>
  </si>
  <si>
    <t>Titan Institutional Services</t>
  </si>
  <si>
    <t xml:space="preserve">Spoke with Micheal. They do have an outsourced MSP he just wanst sure on the full details. Correct contact would be Patricia Bowler. Head of Administration. she is back in July. </t>
  </si>
  <si>
    <t>TreasurySpring</t>
  </si>
  <si>
    <t>12 King's Bench Walk</t>
  </si>
  <si>
    <t>Alliotts LLP</t>
  </si>
  <si>
    <t>Mobile rang out. dont use the corp number as the gatekeeper will not divulge anything</t>
  </si>
  <si>
    <t>Cornerstone Barristers</t>
  </si>
  <si>
    <t>Spoke with Micheal. They do have an outsourced MSP he just wanst sure on the full details. Correct contact would be Patricia Bowler. Head of Administration</t>
  </si>
  <si>
    <t>Hamlins LLP</t>
  </si>
  <si>
    <t xml:space="preserve">Called 12/06 could not get through on any number. Followed up with an email call back schduled. </t>
  </si>
  <si>
    <t>MEFIC Capital</t>
  </si>
  <si>
    <t>Main operation is in Saudi but also have London presence similar to Arcapita. Called corp number but couldnt connect. Sent message to chase him on LinkedIn</t>
  </si>
  <si>
    <t xml:space="preserve">13Books Capital </t>
  </si>
  <si>
    <t>Invote sent today for webinar</t>
  </si>
  <si>
    <t>Bordier &amp; Cie (UK) PLC</t>
  </si>
  <si>
    <t>Eighteen48 Partners</t>
  </si>
  <si>
    <t xml:space="preserve">17/06 called +44 20 3670 1839 DDI but no answer. </t>
  </si>
  <si>
    <t>Four Brick Court, Chambers</t>
  </si>
  <si>
    <t xml:space="preserve">The Merger is 42 BR whom we are already connected with. </t>
  </si>
  <si>
    <t>Judge Sykes Frixou</t>
  </si>
  <si>
    <t>Adrian is confirmed contact. Gatekeeper is tough to crack her. Need to persist. Scraped Adrian mobile number reached VM this morning call back set</t>
  </si>
  <si>
    <t>Juice</t>
  </si>
  <si>
    <t>Leasehold Advisory Service (LEASE)</t>
  </si>
  <si>
    <t xml:space="preserve">Connected with Gabrielle although she was on long term sick. The handle all of this in house and will not change. Everything they do with supply chain is also Procurement lead so have to keep an eye out for the tender </t>
  </si>
  <si>
    <t>Privium Fund Management</t>
  </si>
  <si>
    <t>Hard no from Corrine, retry in 3 months</t>
  </si>
  <si>
    <t>Tyler Capital</t>
  </si>
  <si>
    <t xml:space="preserve">Corp line straight to VM. +44 20 7663 3775 is an alternative rang out and reach voicemail too. Call back set </t>
  </si>
  <si>
    <t>A Y &amp; J Solicitors</t>
  </si>
  <si>
    <t>+44 20 7404 7933 corp number dialed out managed to scrape a Mobile number try that</t>
  </si>
  <si>
    <t>Alchemy Partners</t>
  </si>
  <si>
    <t>Really good conversation with Emily (office manager) Antony is one of the decision makers however Emily is an influencer. Email sent and should get an appointment here. Followed up with emily, She said it is on the radar, keep plugging away at this</t>
  </si>
  <si>
    <t>Colman Coyle</t>
  </si>
  <si>
    <t>Cooke, Young &amp; Keidan LLP</t>
  </si>
  <si>
    <t xml:space="preserve">Doesnt work Thursdays. Need to find a way round the gatekeeper. Will try to source a mobile </t>
  </si>
  <si>
    <t>Ilex Capital</t>
  </si>
  <si>
    <t>OxFORD Asset Management LLP</t>
  </si>
  <si>
    <t>Got a gatekeeper today. Advised they have internal IT which I tend to argue at 40 users. Try again for Mark</t>
  </si>
  <si>
    <t>Sinclair Gibson LLP</t>
  </si>
  <si>
    <t xml:space="preserve">Kindleworth IT Contractors are the incumbent. Spoke to Eassandra not sure she is the DM and was being a blocker. this is a new relationship as the previous company they had were acquired. Moved to Warm 250 </t>
  </si>
  <si>
    <t>Beechbrook Capital</t>
  </si>
  <si>
    <t xml:space="preserve">called 11/06 went straight to automated vm. Call back set. </t>
  </si>
  <si>
    <t>Capital Private Finance</t>
  </si>
  <si>
    <t xml:space="preserve">Corp number seems to have an issue checked and it is correct. The mobile number dialed out and had call screening so couldnt get through. Try again. </t>
  </si>
  <si>
    <t>De Pinna LLP, Notaries</t>
  </si>
  <si>
    <t>Karleen invited to Webinar</t>
  </si>
  <si>
    <t>Family Law in Partnership</t>
  </si>
  <si>
    <t xml:space="preserve">Connected with Rosie today. They outsource to a company called Echo. The relationship has been in place for approx 11 years and are happy. They completed an office move in the last 18 months so contract will have a minimum of 18 months more to run. Confirmed happy to receive our marketing content.  </t>
  </si>
  <si>
    <t>Merali Beedle</t>
  </si>
  <si>
    <t>Sarah is confirmed contact. They use an outsourced MSP. She was in the middle of setting up a meeting so emailed and set call back. Sarah is on annual leave</t>
  </si>
  <si>
    <t>Fahri LLP</t>
  </si>
  <si>
    <t>called through for Elaine didnt get through. Next time try to question the reception to qualify the connection</t>
  </si>
  <si>
    <t>Lewis Nedas Law</t>
  </si>
  <si>
    <t>Had an email response from Catherine. Existing MSP is a relative of the Shareholder. It's not likely this will change. Keep in touch from time to time</t>
  </si>
  <si>
    <t>Prosperity Law LLP</t>
  </si>
  <si>
    <t>Gaynor Stankley no longer with the business. Tried for Andrew today got Gatekeepr. Have managed to pull another number +44 161 667 3695 call back set</t>
  </si>
  <si>
    <t>Mackrell LLP</t>
  </si>
  <si>
    <t>Created new contact. Stephanie Winter is the Practice Manager. Couldnt find any firther details so have set call back</t>
  </si>
  <si>
    <t>PCB Byrne LLP</t>
  </si>
  <si>
    <t>Sara Teasdale, Managing Partner. Advised not available but intro sent. They have an IT Director called Damien Blackburn he is best contact.</t>
  </si>
  <si>
    <t>5 Pump Court Chambers</t>
  </si>
  <si>
    <t xml:space="preserve">Called today 16/06. Toby Lowther is the new Chambers Manager. started yesterday. Give it a couple of weeks and call back. </t>
  </si>
  <si>
    <t>Leadenhall Law Group</t>
  </si>
  <si>
    <t>We have now connected on Linkedin. Has been on paternity leave. Line dialed out 18/06 CB set</t>
  </si>
  <si>
    <t>LegalEdge</t>
  </si>
  <si>
    <t>Current barrier is happy and currently have all the support they need.</t>
  </si>
  <si>
    <t>New Court Chambers</t>
  </si>
  <si>
    <t>Janet confirmed correct contact. Email sent follow up shceduled. Janet only works in office on a Thursday. Called 18/06 she will be online from 12</t>
  </si>
  <si>
    <t>Northridge</t>
  </si>
  <si>
    <t>Emily Soilleux works here. For now I have sent an intro to the COO. Hannah doesnt work Wednesdays. tried +44 20 3957 8821 ddi didnt get through bounced to gatekeepr</t>
  </si>
  <si>
    <t>Riseam Sharples</t>
  </si>
  <si>
    <t>Rakhee confirmed Graham is correct contact, call back set</t>
  </si>
  <si>
    <t>Rosling King LLP</t>
  </si>
  <si>
    <t xml:space="preserve">50 users. Called today no asnwer on his line. Tried to scrape alternate number but none available.  020 7246 8000. Called 16/06 and call hung on switchboard. Emails sent. Call back scheduled. </t>
  </si>
  <si>
    <t>3TG Barristers</t>
  </si>
  <si>
    <t>CANDEY</t>
  </si>
  <si>
    <t>Couldnt get through gatekeeper. Email intro sent. Follow up</t>
  </si>
  <si>
    <t>EBR ATTRIDGE LLP</t>
  </si>
  <si>
    <t>Beck Greener LLP</t>
  </si>
  <si>
    <t xml:space="preserve">Robert Curl IT Manager confirmed. Didnt get through to him today call back set. Mobile number found did connect with him today 11/06 but not a good time. Call back set </t>
  </si>
  <si>
    <t>Birnberg Peirce Solicitors</t>
  </si>
  <si>
    <t>Cold call today. Terry Felton is the controller of IT. Didnt get through today call back sety</t>
  </si>
  <si>
    <t>Meaby &amp; Co</t>
  </si>
  <si>
    <t xml:space="preserve">Chris is the decision maker and partner. He works from the Camberwell office. </t>
  </si>
  <si>
    <t>Pump Court Tax Chambers</t>
  </si>
  <si>
    <t xml:space="preserve">Luke on leave call back changed </t>
  </si>
  <si>
    <t>Ignition Law</t>
  </si>
  <si>
    <t>Micheala the office manager has left.  Cath Bell. Head of Operations. got the gatekeeper today but have found a mobile number call back on that</t>
  </si>
  <si>
    <t>2Harcourt Buildings</t>
  </si>
  <si>
    <t>Vicky off today and works purely remote. Managed to scrape a mobile for her, try that next time. She is confirmed decision maker. Called mobile 19/06 but got VM call back set. Email intro sent</t>
  </si>
  <si>
    <t>Burlingtons</t>
  </si>
  <si>
    <t>Barretts Law</t>
  </si>
  <si>
    <t>Branch Austin McCormick LLP</t>
  </si>
  <si>
    <t>Called through on  020 7851 0100 but went direct to VM. Call back set and Mobile number scraped. Howver I want to qualify that Hal is the DM for this</t>
  </si>
  <si>
    <t>Prince Evans Solicitors LLP</t>
  </si>
  <si>
    <t xml:space="preserve">Called today but couldnt get through. Followed up with Intro email. call back scheduled. </t>
  </si>
  <si>
    <t>5 Stone Buildings</t>
  </si>
  <si>
    <t>Solomon Taylor &amp; Shaw LLP</t>
  </si>
  <si>
    <t>Danni is front of house. Unclear who deals however target her for information first</t>
  </si>
  <si>
    <t>W Legal</t>
  </si>
  <si>
    <t xml:space="preserve">Egzona is DM she was on annual leave today. Mutually connected to Hana Gray. info@wlegal.co.uk. They have an external MSP which was confiemed by reception. </t>
  </si>
  <si>
    <t>6KBW College Hill</t>
  </si>
  <si>
    <t>called 18/06 emilia in a meeting CB shceduled</t>
  </si>
  <si>
    <t>Brandsmiths</t>
  </si>
  <si>
    <t>Deighton Pierce Glynn Ltd</t>
  </si>
  <si>
    <t xml:space="preserve">Annette Webb was previous office manager. Use this as a way in. no answer via switchbaord today </t>
  </si>
  <si>
    <t>Foskett Marr Gadsby &amp; Head</t>
  </si>
  <si>
    <t>Lynne is currently away from the office and not sure on her return date (long term sick) Nothing will change for now so try again in a couple of months. Two offices Loughton and Epping</t>
  </si>
  <si>
    <t>Freemans Solicitors</t>
  </si>
  <si>
    <t xml:space="preserve">Gatekeeper today. Have sent an email to Louise and will follow up. </t>
  </si>
  <si>
    <t>Laura Devine Immigration</t>
  </si>
  <si>
    <t>Matthew is the IT Admin. Try here. Tried via the corp number he was unavialable. Scraped mobile try that next week</t>
  </si>
  <si>
    <t xml:space="preserve">Levenes Solicitors </t>
  </si>
  <si>
    <t>Not Sally. IT manager is Paul Miller. No email address available call back set as he was on annual leave. +44 20 8826 1360 is his DDI</t>
  </si>
  <si>
    <t xml:space="preserve">MFB Solicitors </t>
  </si>
  <si>
    <t>Daminen Mockler left 10 years ago. Paul Whiting is the contact and confirmed DM On annual leave so call back set for later date</t>
  </si>
  <si>
    <t>Lamb Building</t>
  </si>
  <si>
    <t>Spoke with Keiran today. They are with a company called AJ Taylor. There are deffinately gaps here. I was very close to booking an FTA. I will move this to Warm 250 and market from there</t>
  </si>
  <si>
    <t xml:space="preserve">Trama </t>
  </si>
  <si>
    <t xml:space="preserve">Not a fit they spoke zero english and looks like its all from bratislava </t>
  </si>
  <si>
    <t>AVRillo Conveyancing</t>
  </si>
  <si>
    <t>Confirmed Alan is the DM. Did not get through today call back set. Scraped a mobile which did not connect.</t>
  </si>
  <si>
    <t>Five Paper</t>
  </si>
  <si>
    <t xml:space="preserve">Did not connect with Megan, unable to confirm if she is the Dm call back set </t>
  </si>
  <si>
    <t>Harcourt - Family Law</t>
  </si>
  <si>
    <t>+44 20 7896 4520 was number dialed today. Straight to VM call back set</t>
  </si>
  <si>
    <t>Spector Constant &amp; Williams</t>
  </si>
  <si>
    <t>Church Court Chambers</t>
  </si>
  <si>
    <t>Called today spoke with Tom. They are currently using a compnay called NDAXI and have done for a couple of years. Best contcats will be either Claire Anderson or Sukhi (Sukhdev Sondh) who I have also added to suspect list</t>
  </si>
  <si>
    <t>William Sturges LLP</t>
  </si>
  <si>
    <t xml:space="preserve">Alex Bennett left last month. Robert Talbot - Practice Manager </t>
  </si>
  <si>
    <t>Level</t>
  </si>
  <si>
    <t>Alexia is confirmed the correct contact. Reception also confifmed they do have an MSP in place. Call back scheduled</t>
  </si>
  <si>
    <t>Six Pump Court Chambers</t>
  </si>
  <si>
    <t xml:space="preserve">called today but no asnwer. Joanne Ashby is Chambers Adminstrator </t>
  </si>
  <si>
    <t>Stuart Miller Solicitors</t>
  </si>
  <si>
    <t xml:space="preserve">Nicola no longer with the company Office Manager is Martina Krajcarova contact added and call back set and mobile number scraped </t>
  </si>
  <si>
    <t>Erskine Chambers</t>
  </si>
  <si>
    <t>Not looking to change at present and very happy with incumbant. I couldnt break down the barrier. She is nice enough email sent touch base in 6-8 months</t>
  </si>
  <si>
    <t>Patron Law</t>
  </si>
  <si>
    <t xml:space="preserve">Called for Keren 18/06. but didnt connect. Managed to scrape some information out of reception. Confirmed IT is outsourced. </t>
  </si>
  <si>
    <t>Rosenblatt Law</t>
  </si>
  <si>
    <t>To be worked wc 08/06/2033</t>
  </si>
  <si>
    <t>SBP Law</t>
  </si>
  <si>
    <t>To be worked wc 08/06/2034</t>
  </si>
  <si>
    <t>Thomas Mansfield Solicitors</t>
  </si>
  <si>
    <t>To be worked wc 08/06/2035</t>
  </si>
  <si>
    <t xml:space="preserve">9 King's Bench Walk </t>
  </si>
  <si>
    <t>To be worked wc 08/06/2036</t>
  </si>
  <si>
    <t>Accutrainee Limited</t>
  </si>
  <si>
    <t>To be worked wc 08/06/2037</t>
  </si>
  <si>
    <t>Breytenbachs Immigration Consultants Ltd</t>
  </si>
  <si>
    <t>To be worked wc 08/06/2038</t>
  </si>
  <si>
    <t>Powell Spencer and Partners</t>
  </si>
  <si>
    <t>To be worked wc 08/06/2039</t>
  </si>
  <si>
    <t>Westkin Associates</t>
  </si>
  <si>
    <t>To be worked wc 08/06/2040</t>
  </si>
  <si>
    <t xml:space="preserve">Comptons Solicitors LLP </t>
  </si>
  <si>
    <t>To be worked wc 08/06/2041</t>
  </si>
  <si>
    <t>Hughes Fowler Carruthers</t>
  </si>
  <si>
    <t>To be worked wc 08/06/2042</t>
  </si>
  <si>
    <t>Wikborg Rein London</t>
  </si>
  <si>
    <t>To be worked wc 08/06/2043</t>
  </si>
  <si>
    <t>Briffa - Intellectual Property Lawyers</t>
  </si>
  <si>
    <t>To be worked wc 08/06/2044</t>
  </si>
  <si>
    <t>ITN Solicitors</t>
  </si>
  <si>
    <t>To be worked wc 08/06/2045</t>
  </si>
  <si>
    <t>Landmark Chambers</t>
  </si>
  <si>
    <t>Libertas Chambers</t>
  </si>
  <si>
    <t xml:space="preserve">1st call attempt scheduled. Linkedin connections sent </t>
  </si>
  <si>
    <t>Sonn Macmillan Walker</t>
  </si>
  <si>
    <t>Starck Uberoi Solicitors &amp; Advocates</t>
  </si>
  <si>
    <t>Seladore Legal</t>
  </si>
  <si>
    <t>Suspects Totals</t>
  </si>
  <si>
    <t>CLOSED</t>
  </si>
  <si>
    <t>%</t>
  </si>
  <si>
    <t>Albatross</t>
  </si>
  <si>
    <t>Fully Managed</t>
  </si>
  <si>
    <t>Affinity Group</t>
  </si>
  <si>
    <t>MJ Bushall</t>
  </si>
  <si>
    <t>Giles Wilson</t>
  </si>
  <si>
    <t>IT Support</t>
  </si>
  <si>
    <t>iSpy Group</t>
  </si>
  <si>
    <t>Clara Pensions</t>
  </si>
  <si>
    <t xml:space="preserve">Jefferies Solicitors </t>
  </si>
  <si>
    <t>Fully Managed +</t>
  </si>
  <si>
    <t>Tolhurst Fisher</t>
  </si>
  <si>
    <t>Kevin Lockhart</t>
  </si>
  <si>
    <t>Co-Managed</t>
  </si>
  <si>
    <t>Arkturus</t>
  </si>
  <si>
    <t xml:space="preserve">Expyro Fire Safety Group </t>
  </si>
  <si>
    <t xml:space="preserve">To Date: </t>
  </si>
  <si>
    <t>Warm 250 - Strategic Account List</t>
  </si>
  <si>
    <t>Age</t>
  </si>
  <si>
    <t xml:space="preserve">Nairnsey Fisher Lewis </t>
  </si>
  <si>
    <t>In contract until early 2027</t>
  </si>
  <si>
    <t xml:space="preserve">Chadsan </t>
  </si>
  <si>
    <t>Office move happening for Southend site. Reach out to David around Summer</t>
  </si>
  <si>
    <t xml:space="preserve">Cavendish Medical </t>
  </si>
  <si>
    <t>Obtained further information, see outside sales review - attending Webinar 22nd</t>
  </si>
  <si>
    <t xml:space="preserve">BBA Capital </t>
  </si>
  <si>
    <t>Agreed date to re engage RE IT Support. Isabel has been on Maternity leave</t>
  </si>
  <si>
    <t xml:space="preserve">Kimmik Capital </t>
  </si>
  <si>
    <t>Website</t>
  </si>
  <si>
    <t xml:space="preserve">Have agreement with MSP </t>
  </si>
  <si>
    <t xml:space="preserve">Astra Assett Mangagment </t>
  </si>
  <si>
    <t xml:space="preserve">Invitation to new Webinar, as we didn’t get these signed up </t>
  </si>
  <si>
    <t xml:space="preserve">The International Family Law Group </t>
  </si>
  <si>
    <t>Called today and left message for CB</t>
  </si>
  <si>
    <t xml:space="preserve">Dawn Capital </t>
  </si>
  <si>
    <t>Need to find new DM. Francesca left the business. Lost opportunity 2 years ago to Thrive</t>
  </si>
  <si>
    <t xml:space="preserve">Altify </t>
  </si>
  <si>
    <t xml:space="preserve">Head count has increased. Sean needs to get the other side of H2 before we can meet. Shceduled task in Apollo </t>
  </si>
  <si>
    <t>3PB Barristers</t>
  </si>
  <si>
    <t xml:space="preserve">See notes in CRM. Current MSP is IQUAL they control the NOC and SOC for them.  no current pain points found yet. </t>
  </si>
  <si>
    <t xml:space="preserve">Waiting for confirmation of FTA on 12th May </t>
  </si>
  <si>
    <t xml:space="preserve">Klar Partners </t>
  </si>
  <si>
    <t>Lost opportunity to ECI. Need to find out contract length and touch base</t>
  </si>
  <si>
    <t>QEB Hollis Whiteman</t>
  </si>
  <si>
    <t xml:space="preserve">Audit has been rescheduled for 1st week July </t>
  </si>
  <si>
    <t>187 Chambers</t>
  </si>
  <si>
    <t xml:space="preserve">Under contract until June 2027. Keep in touch. Nect action offer Audit. Send Webinar invitations </t>
  </si>
  <si>
    <t>Finatal</t>
  </si>
  <si>
    <t>Emily advised best to speak with Tori EA to CEO. Use an MSP Focus Group, General feel is Focus are not good . Move to Warm 250 email sent to Tori. Scraped mobile did They are under contract with Focus for another 2 years</t>
  </si>
  <si>
    <t xml:space="preserve">17Capital </t>
  </si>
  <si>
    <t>Catherine Head OF IT  makes any business changes (employed by 17 Cap) they have an IT Team that is supported via RSA ( Similar to Clearlake and us). Gatkeeper today try to find alternative number</t>
  </si>
  <si>
    <t xml:space="preserve">Antares Finance </t>
  </si>
  <si>
    <t>Currently in the process of moving office. Current head count is actually 7 with expectations to grow to 15 within the next year</t>
  </si>
  <si>
    <t>Amphlett Lissimore Solicitors</t>
  </si>
  <si>
    <t>Moving to warm 250, Tony is engaging just timing isnt right for now. Need to keep plugging away at this</t>
  </si>
  <si>
    <t>42 Bedford Row Chambers</t>
  </si>
  <si>
    <t>Current MSP is Echo. Tender will be happening Feb 2027</t>
  </si>
  <si>
    <t>Vyman Solicitors</t>
  </si>
  <si>
    <t xml:space="preserve">Follow up email sent after conversation with Olivia. With IQ IT I'd say they are happy however Olivia listened and was open to communication </t>
  </si>
  <si>
    <t>Great James Street Chambers</t>
  </si>
  <si>
    <t>With a company called, Real World IT. The relationship has been in place for some time and friends of the oweners</t>
  </si>
  <si>
    <t>Three Stone</t>
  </si>
  <si>
    <t>Spoke with Bill. Informative conversation. They are currently with Comtek systems. The Chambers Manager John McDonnell would be key decisison maker howver he is frends with the owner of Comtek so hard to break the partnership which has been 20 years (John is old and will likely retire)</t>
  </si>
  <si>
    <t>15 NBS</t>
  </si>
  <si>
    <t>FTA Booked with Sue 5th June. In the market</t>
  </si>
  <si>
    <t>HIBRiD</t>
  </si>
  <si>
    <t>Business is now live.In touch call needed, when are offices opening?</t>
  </si>
  <si>
    <t xml:space="preserve">The RM2 Partnership </t>
  </si>
  <si>
    <t xml:space="preserve">IT is outsourced, in contract for now. Not rerady to meet yet </t>
  </si>
  <si>
    <t xml:space="preserve">Gravis </t>
  </si>
  <si>
    <t>Didn't reach Nick today. However gathered great intel. they are with Fifosys the IT is reviewed annually and the contract will renew in April 2027. Relationship has been in place for approx 6 years</t>
  </si>
  <si>
    <t xml:space="preserve">Brecher LLP </t>
  </si>
  <si>
    <t xml:space="preserve">Scraped mobile. +44 77 6015 8826 and conencted. She has frustrations however the IT Support company called Mocom System been with them for 30 years the owner knows the COO of Brecher. Nice lady we need to keep in touch as she would like change. </t>
  </si>
  <si>
    <t>Pollen Street Capital</t>
  </si>
  <si>
    <t xml:space="preserve">We had to cancel the Webinar. She joined to earn more about operation resliance and best practices. I did try to convert to an FTA but not right timing. Ensure we send her an invite to the next one. </t>
  </si>
  <si>
    <t>Victoria Asset Management</t>
  </si>
  <si>
    <t xml:space="preserve">gathered the information from Helen. 1 year into a 3 year term with Charles Square. happy for me to keep in touch. </t>
  </si>
  <si>
    <t>Atrato Group</t>
  </si>
  <si>
    <t>Connected with Bhavik on his mobile. Nice chap. Unfortunately 2 months too late they have just signed a new contract with Purple Matrix for 3 years. Notes added and will call back in 8 months to keep in touch</t>
  </si>
  <si>
    <t>Milberg London LLP</t>
  </si>
  <si>
    <t xml:space="preserve">Spoke with Adam. her partially deals with this, contract with existing MSP renews this time next year. Currently going through a restructure he may still be the person that controls this. Touch base towards end of year early 2027. </t>
  </si>
  <si>
    <t>Cleveland Scott York</t>
  </si>
  <si>
    <t xml:space="preserve">FTA booked with Nick. Early stages. They currently have a separate NOC and SOC. I didn’t press too hard but I have a feeling there are some gaps. Find out more on the intro </t>
  </si>
  <si>
    <t>Alexander JLO Solicitors</t>
  </si>
  <si>
    <t xml:space="preserve">Arjang the IT Manager left the business. They are now in a contract with an MSP called EBC. The contract has been in place for 6 months unsure on the term as didnt speak direct with Peter. </t>
  </si>
  <si>
    <t xml:space="preserve">Lisa's Law Solicitors </t>
  </si>
  <si>
    <t xml:space="preserve">Solid conversation with Hassan via his mobile. They have recently invested into the IT team to cover SOC. Howver the business is growing quikcly via acquisition and his view is he will need MSP come January. Follow up scheduled to touch base in October to see if headcount is increasin </t>
  </si>
  <si>
    <t>Keating Chambers</t>
  </si>
  <si>
    <t>Spoke with Richard 19/06. They have approx another 18 months to run with existing MSP. They are happy with them. Move to warm 250 and nurture. +44 20 7544 2665 is his DDI.</t>
  </si>
  <si>
    <t>Atominvest</t>
  </si>
  <si>
    <t>Spoke with Roasrio via his mobile. For now they have a good relationship in place with an external MSP. He couldnt disclose who however they are right fit and talking to correct person. Moving to warm 250</t>
  </si>
  <si>
    <t>Masters Legal Costs Services LLP</t>
  </si>
  <si>
    <t>Frustrating. They are actually using Ricoh Service desk for all IT operations and Cyber security. They signed a 3 year commitment with them in January. Move to Warm250 for Nurturing</t>
  </si>
  <si>
    <t>GreySpark Partners</t>
  </si>
  <si>
    <t>They have a relatively new agreement in place with an outsourced MSP. The cotnract was signed for 3 years. Sara was nice enough but nothing moving here for a little while. Move to ISR warm 250 and call back scheduled.</t>
  </si>
  <si>
    <t xml:space="preserve">DKLM LLP </t>
  </si>
  <si>
    <t>Spoke with Alan today. Nice fella and to the point. He is with an IT company that hes worked with in various businesses over the years. He said thats not to say he wouldnt ever change but nothing moving for now.</t>
  </si>
  <si>
    <t>Drystone Chambers</t>
  </si>
  <si>
    <t>Spoke with Russell. They have a cyber security provider (mates and ex military) and then also an IT Support provider. They have happy on both fronts so not a way in just yet.Move to ISR Warm 250 and market from there</t>
  </si>
  <si>
    <t xml:space="preserve">NOT A FIT </t>
  </si>
  <si>
    <t xml:space="preserve">Just Wills And Legals Services </t>
  </si>
  <si>
    <t>31/04/2026</t>
  </si>
  <si>
    <t>NA</t>
  </si>
  <si>
    <t xml:space="preserve">Email response today. Same firm for years wont change. Remove me from mailing and call list </t>
  </si>
  <si>
    <t xml:space="preserve">First Trust Global Portfolios </t>
  </si>
  <si>
    <t>Parent company in the states who are significantly larger than First Trust. They have an internal team and then have the US MSP for additonal hands when needed. Marking as a not right now.</t>
  </si>
  <si>
    <t xml:space="preserve">Nickel Digital Assett Management </t>
  </si>
  <si>
    <t xml:space="preserve">This looks more likely to be  a VAR customer. They dont have an MSP Sam manages this in house and buys the tools he needs. Nice chap keep in tocuh we may get the off VAR sale. They have a company externally that manages the firewals. </t>
  </si>
  <si>
    <t xml:space="preserve">Resolute Asset Management </t>
  </si>
  <si>
    <t xml:space="preserve">All IT is handled from the Greek HQ in Athens. they wont look to handle this in the UK </t>
  </si>
  <si>
    <t xml:space="preserve">Zodia Custody </t>
  </si>
  <si>
    <t xml:space="preserve">Not a fit - internal only wont outsource. End of call </t>
  </si>
  <si>
    <t xml:space="preserve">Greencoat Capital LLP </t>
  </si>
  <si>
    <t>Parent Company is Schroders who employ over 6k people. Not a fit</t>
  </si>
  <si>
    <t>SRP</t>
  </si>
  <si>
    <t>Effer Ventures</t>
  </si>
  <si>
    <t xml:space="preserve">Got alex via the phone. Nice chat however they are part of a larger group and IT is managed by the SA business </t>
  </si>
  <si>
    <t>Momentum Global Investment Management</t>
  </si>
  <si>
    <t>They have a team of 3 in IT that are all internal and Momentum employees. I have added them to nurtute lists but this is not a fit unless anything chnages</t>
  </si>
  <si>
    <t>Flight Fund</t>
  </si>
  <si>
    <t>Further discover they is a investment platform for Steven Bartlett. Head count looks good but reality is it's a small community for his investors</t>
  </si>
  <si>
    <t>RadcliffesLeBrasseur LLP</t>
  </si>
  <si>
    <t>Now part of Weightmans, employing 1.5k staff. Not a fit</t>
  </si>
  <si>
    <t>Smith Stone Walters Ltd</t>
  </si>
  <si>
    <t>Bought out by Envoy Global. Headcount is 500. Too big</t>
  </si>
  <si>
    <t xml:space="preserve">24/06 called mobile no answer CB scheduled. </t>
  </si>
  <si>
    <t xml:space="preserve">spoke with Ben very useful conversation. Neil Thomas - Chief of Operations David Bradley - IT Manager. Both employed by Landmark. They also have an outsourced MSP which was reviewed in last 3 months and staying as is for now. </t>
  </si>
  <si>
    <t>They have an MSP. Karen said they are happy. Tried to press for who it is, she also said she doesnt deal with it. Need to look for a new contact found DanCoote chambers director</t>
  </si>
  <si>
    <t>Connected via his mobile. then he hung up</t>
  </si>
  <si>
    <t>Spoke with Hugo via his mobile. they hired an IT Manager back in January and currently no MSP supporting. For now this is is adequate for the business but as they scale they may need further support. I will move this to ISR warm 250</t>
  </si>
  <si>
    <t>Called 24/06. Tried mobile and corp number with no luck. call back set</t>
  </si>
  <si>
    <t>Tried Tony on his mobile but reached VM. Call back scheduled. Same again on 24/06</t>
  </si>
  <si>
    <t xml:space="preserve">Gary Brown is the successor to Kevin. Contact added and will prospect from there. Called 24/06 but went to VM on all extentions. Have found a mobile </t>
  </si>
  <si>
    <t>Scraped mobile +44 75 4024 0741 reached VM 24/06. Call back set. There is no corp number</t>
  </si>
  <si>
    <t>Martin Harris is the key decision maker. All IT is outsourced. called 24/06 he was in meeting</t>
  </si>
  <si>
    <t>Mobile number rang out today. Good news is there was no call screening</t>
  </si>
  <si>
    <t xml:space="preserve">Called 24/06 via Mobile. rang through to VM. CB set </t>
  </si>
  <si>
    <t>Called 24/06. Rifat unavailable. Managed to scrape mobile number which does work. Reached his voicemail</t>
  </si>
  <si>
    <t>Spoke to Isac. Advised 100% Rachel to speak with. Scraped mobile +44 773 996 2483. Left voicemail. Called 24/06 left voicemail requesting meeting</t>
  </si>
  <si>
    <t xml:space="preserve">DN Capital </t>
  </si>
  <si>
    <t>Gatekeeper here. Have tried to scrape a mobile number but none available. Tried again and same have to email unless you have an appointment</t>
  </si>
  <si>
    <t>Jesss Operation Anyalyst is the correct contact. Confirmed by Megan</t>
  </si>
  <si>
    <t>Was introduced to Furhana and Georgie by Paul Hennesey. Was passed through to Furhana 24/06 howver reached vm. Call back</t>
  </si>
  <si>
    <t xml:space="preserve">We are now connected via LinkedIn. Offices are Hornchurch, Buckhurst Hill, Wanstead, Loughton &amp; Shoreditch. didnt get through today 24/06. </t>
  </si>
  <si>
    <t xml:space="preserve">Has unsubscribed from emails. Unable to reach by phone. Call back set </t>
  </si>
  <si>
    <t>Unable to reach via mobile. Will revert back to the Corp line</t>
  </si>
  <si>
    <t>Found mobile, tried today but reached VM. Call bak set. Unable to reach via Corp line too</t>
  </si>
  <si>
    <t>Osbornes Law</t>
  </si>
  <si>
    <t>Unable to reach via phone. We had an opportunity for Knowbe4 with Stuart. Emailed for catch up</t>
  </si>
  <si>
    <t xml:space="preserve">Sternberg Reed Solicitors </t>
  </si>
  <si>
    <t>FTA set with Scott 9th July. We have quoted before. Kev included in call</t>
  </si>
  <si>
    <t>Furnival Chambers</t>
  </si>
  <si>
    <t>Lisa Dallangera, was a receptionist but Grant had an active opp in here years ago. I have found the chambers manager Julian Bradley set call back</t>
  </si>
  <si>
    <t xml:space="preserve">Balance Legal </t>
  </si>
  <si>
    <t>Follow up meeting request to Jamie. His current term is up in September. Need to push for FTA</t>
  </si>
  <si>
    <t>Legal</t>
  </si>
  <si>
    <t>Financial Services</t>
  </si>
  <si>
    <t xml:space="preserve">Legal </t>
  </si>
  <si>
    <t xml:space="preserve">Lost opp he ended up going with a Company in Bristol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</si>
</sst>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4" formatCode="_-&quot;£&quot;* #,##0.00_-;\-&quot;£&quot;* #,##0.00_-;_-&quot;£&quot;* &quot;-&quot;??_-;_-@_-"/>
    <numFmt numFmtId="164" formatCode="&quot;$&quot;#,##0_);[Red]\(&quot;$&quot;#,##0\)"/>
    <numFmt numFmtId="165" formatCode="_(&quot;$&quot;* #,##0_);_(&quot;$&quot;* \(#,##0\);_(&quot;$&quot;* &quot;-&quot;_);_(@_)"/>
    <numFmt numFmtId="166" formatCode="_(&quot;$&quot;* #,##0.00_);_(&quot;$&quot;* \(#,##0.00\);_(&quot;$&quot;* &quot;-&quot;??_);_(@_)"/>
    <numFmt numFmtId="167" formatCode="_(* #,##0.00_);_(* \(#,##0.00\);_(* &quot;-&quot;??_);_(@_)"/>
    <numFmt numFmtId="168" formatCode="&quot;$&quot;#,##0"/>
    <numFmt numFmtId="169" formatCode="_(&quot;$&quot;* #,##0_);_(&quot;$&quot;* \(#,##0\);_(&quot;$&quot;* &quot;-&quot;??_);_(@_)"/>
    <numFmt numFmtId="170" formatCode="_-[$£-809]* #,##0.00_-;\-[$£-809]* #,##0.00_-;_-[$£-809]* &quot;-&quot;??_-;_-@_-"/>
    <numFmt numFmtId="171" formatCode="dd/mm/yyyy;@"/>
  </numFmts>
  <fonts count="36">
    <font>
      <sz val="11"/>
      <color theme="1"/>
      <name val="Calibri"/>
      <family val="2"/>
      <scheme val="minor"/>
    </font>
    <font>
      <sz val="11"/>
      <color theme="0"/>
      <name val="Calibri"/>
      <family val="2"/>
      <scheme val="minor"/>
    </font>
    <font>
      <sz val="10"/>
      <name val="Arial"/>
      <family val="2"/>
    </font>
    <font>
      <sz val="10"/>
      <name val="Calibri"/>
      <family val="2"/>
      <scheme val="minor"/>
    </font>
    <font>
      <sz val="12"/>
      <color theme="1"/>
      <name val="Calibri"/>
      <family val="2"/>
      <scheme val="minor"/>
    </font>
    <font>
      <b/>
      <sz val="10"/>
      <name val="Calibri"/>
      <family val="2"/>
      <scheme val="minor"/>
    </font>
    <font>
      <sz val="10"/>
      <color theme="1"/>
      <name val="Calibri"/>
      <family val="2"/>
      <scheme val="minor"/>
    </font>
    <font>
      <sz val="10"/>
      <name val="Arial"/>
      <family val="2"/>
    </font>
    <font>
      <b/>
      <i/>
      <sz val="10"/>
      <name val="Calibri"/>
      <family val="2"/>
      <scheme val="minor"/>
    </font>
    <font>
      <b/>
      <i/>
      <sz val="18"/>
      <name val="Calibri"/>
      <family val="2"/>
      <scheme val="minor"/>
    </font>
    <font>
      <sz val="10"/>
      <color indexed="8"/>
      <name val="Helvetica"/>
    </font>
    <font>
      <sz val="9"/>
      <color indexed="81"/>
      <name val="Tahoma"/>
      <family val="2"/>
    </font>
    <font>
      <b/>
      <sz val="9"/>
      <color indexed="81"/>
      <name val="Tahoma"/>
      <family val="2"/>
    </font>
    <font>
      <b/>
      <i/>
      <sz val="11"/>
      <color theme="0"/>
      <name val="Calibri"/>
      <family val="2"/>
      <scheme val="minor"/>
    </font>
    <font>
      <b/>
      <i/>
      <sz val="12"/>
      <color theme="0"/>
      <name val="Calibri"/>
      <family val="2"/>
      <scheme val="minor"/>
    </font>
    <font>
      <sz val="11"/>
      <color theme="1"/>
      <name val="Calibri"/>
      <family val="2"/>
      <scheme val="minor"/>
    </font>
    <font>
      <b/>
      <sz val="12"/>
      <name val="Calibri"/>
      <family val="2"/>
      <scheme val="minor"/>
    </font>
    <font>
      <i/>
      <sz val="10"/>
      <name val="Calibri"/>
      <family val="2"/>
      <scheme val="minor"/>
    </font>
    <font>
      <b/>
      <i/>
      <sz val="10"/>
      <color theme="0"/>
      <name val="Calibri"/>
      <family val="2"/>
      <scheme val="minor"/>
    </font>
    <font>
      <sz val="8"/>
      <name val="Calibri"/>
      <family val="2"/>
      <scheme val="minor"/>
    </font>
    <font>
      <b/>
      <sz val="36"/>
      <color theme="1"/>
      <name val="Calibri"/>
      <family val="2"/>
      <scheme val="minor"/>
    </font>
    <font>
      <b/>
      <i/>
      <sz val="11"/>
      <name val="Calibri"/>
      <family val="2"/>
      <scheme val="minor"/>
    </font>
    <font>
      <b/>
      <i/>
      <sz val="18"/>
      <color theme="0"/>
      <name val="Calibri"/>
      <family val="2"/>
      <scheme val="minor"/>
    </font>
    <font>
      <b/>
      <sz val="11"/>
      <name val="Calibri"/>
      <family val="2"/>
      <scheme val="minor"/>
    </font>
    <font>
      <sz val="11"/>
      <name val="Calibri"/>
      <family val="2"/>
      <scheme val="minor"/>
    </font>
    <font>
      <b/>
      <i/>
      <sz val="36"/>
      <color theme="1"/>
      <name val="Calibri"/>
      <family val="2"/>
      <scheme val="minor"/>
    </font>
    <font>
      <i/>
      <sz val="11"/>
      <color theme="1"/>
      <name val="Calibri"/>
      <family val="2"/>
      <scheme val="minor"/>
    </font>
    <font>
      <b/>
      <i/>
      <sz val="22"/>
      <name val="Calibri"/>
      <family val="2"/>
      <scheme val="minor"/>
    </font>
    <font>
      <i/>
      <sz val="14"/>
      <color theme="1"/>
      <name val="Calibri"/>
      <family val="2"/>
      <scheme val="minor"/>
    </font>
    <font>
      <i/>
      <sz val="10"/>
      <color theme="1"/>
      <name val="Calibri"/>
      <family val="2"/>
      <scheme val="minor"/>
    </font>
    <font>
      <b/>
      <i/>
      <sz val="10"/>
      <color theme="1"/>
      <name val="Arial Unicode MS"/>
    </font>
    <font>
      <b/>
      <i/>
      <sz val="12"/>
      <name val="Calibri"/>
      <family val="2"/>
      <scheme val="minor"/>
    </font>
    <font>
      <i/>
      <sz val="11"/>
      <color theme="0"/>
      <name val="Calibri"/>
      <family val="2"/>
      <scheme val="minor"/>
    </font>
    <font>
      <i/>
      <sz val="11"/>
      <name val="Calibri"/>
      <family val="2"/>
      <scheme val="minor"/>
    </font>
    <font>
      <i/>
      <sz val="12"/>
      <name val="Calibri"/>
      <family val="2"/>
      <scheme val="minor"/>
    </font>
    <font>
      <i/>
      <strike/>
      <sz val="10"/>
      <name val="Calibri"/>
      <family val="2"/>
      <scheme val="minor"/>
    </font>
  </fonts>
  <fills count="16">
    <fill>
      <patternFill patternType="none"/>
    </fill>
    <fill>
      <patternFill patternType="gray125"/>
    </fill>
    <fill>
      <patternFill patternType="solid">
        <fgColor indexed="22"/>
        <bgColor indexed="64"/>
      </patternFill>
    </fill>
    <fill>
      <patternFill patternType="solid">
        <fgColor rgb="FF0070C0"/>
        <bgColor indexed="64"/>
      </patternFill>
    </fill>
    <fill>
      <patternFill patternType="solid">
        <fgColor theme="6" tint="0.79998168889431442"/>
        <bgColor theme="6" tint="0.79998168889431442"/>
      </patternFill>
    </fill>
    <fill>
      <patternFill patternType="solid">
        <fgColor rgb="FFFF0000"/>
        <bgColor indexed="64"/>
      </patternFill>
    </fill>
    <fill>
      <patternFill patternType="solid">
        <fgColor rgb="FF00B050"/>
        <bgColor indexed="64"/>
      </patternFill>
    </fill>
    <fill>
      <patternFill patternType="solid">
        <fgColor theme="0"/>
        <bgColor indexed="64"/>
      </patternFill>
    </fill>
    <fill>
      <patternFill patternType="solid">
        <fgColor theme="5"/>
        <bgColor indexed="64"/>
      </patternFill>
    </fill>
    <fill>
      <patternFill patternType="solid">
        <fgColor theme="2" tint="-0.249977111117893"/>
        <bgColor indexed="64"/>
      </patternFill>
    </fill>
    <fill>
      <patternFill patternType="solid">
        <fgColor theme="2"/>
        <bgColor indexed="64"/>
      </patternFill>
    </fill>
    <fill>
      <patternFill patternType="solid">
        <fgColor rgb="FFFFC000"/>
        <bgColor indexed="64"/>
      </patternFill>
    </fill>
    <fill>
      <patternFill patternType="solid">
        <fgColor theme="6" tint="-0.249977111117893"/>
        <bgColor indexed="64"/>
      </patternFill>
    </fill>
    <fill>
      <patternFill patternType="solid">
        <fgColor rgb="FF92D050"/>
        <bgColor indexed="64"/>
      </patternFill>
    </fill>
    <fill>
      <patternFill patternType="solid">
        <fgColor theme="7"/>
        <bgColor indexed="64"/>
      </patternFill>
    </fill>
    <fill>
      <patternFill patternType="solid">
        <fgColor theme="0" tint="-0.14999847407452621"/>
        <bgColor indexed="64"/>
      </patternFill>
    </fill>
  </fills>
  <borders count="25">
    <border>
      <left/>
      <right/>
      <top/>
      <bottom/>
      <diagonal/>
    </border>
    <border>
      <left/>
      <right/>
      <top/>
      <bottom style="medium">
        <color auto="1"/>
      </bottom>
      <diagonal/>
    </border>
    <border>
      <left style="medium">
        <color auto="1"/>
      </left>
      <right style="medium">
        <color auto="1"/>
      </right>
      <top style="medium">
        <color auto="1"/>
      </top>
      <bottom/>
      <diagonal/>
    </border>
    <border>
      <left style="thin">
        <color auto="1"/>
      </left>
      <right style="thin">
        <color auto="1"/>
      </right>
      <top style="thin">
        <color auto="1"/>
      </top>
      <bottom/>
      <diagonal/>
    </border>
    <border>
      <left style="medium">
        <color auto="1"/>
      </left>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top style="thin">
        <color auto="1"/>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0"/>
      </right>
      <top style="thin">
        <color theme="0"/>
      </top>
      <bottom style="thin">
        <color theme="0"/>
      </bottom>
      <diagonal/>
    </border>
    <border>
      <left/>
      <right/>
      <top style="medium">
        <color indexed="64"/>
      </top>
      <bottom/>
      <diagonal/>
    </border>
    <border>
      <left style="thin">
        <color auto="1"/>
      </left>
      <right style="thin">
        <color auto="1"/>
      </right>
      <top/>
      <bottom style="thin">
        <color auto="1"/>
      </bottom>
      <diagonal/>
    </border>
    <border>
      <left style="medium">
        <color auto="1"/>
      </left>
      <right/>
      <top style="medium">
        <color auto="1"/>
      </top>
      <bottom/>
      <diagonal/>
    </border>
    <border>
      <left/>
      <right style="medium">
        <color indexed="64"/>
      </right>
      <top style="medium">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auto="1"/>
      </left>
      <right style="thin">
        <color auto="1"/>
      </right>
      <top style="thin">
        <color indexed="64"/>
      </top>
      <bottom style="medium">
        <color indexed="64"/>
      </bottom>
      <diagonal/>
    </border>
    <border>
      <left style="thin">
        <color indexed="64"/>
      </left>
      <right style="thin">
        <color indexed="64"/>
      </right>
      <top style="thin">
        <color indexed="64"/>
      </top>
      <bottom style="thin">
        <color theme="9" tint="0.39997558519241921"/>
      </bottom>
      <diagonal/>
    </border>
  </borders>
  <cellStyleXfs count="9">
    <xf numFmtId="0" fontId="0" fillId="0" borderId="0"/>
    <xf numFmtId="0" fontId="2" fillId="0" borderId="0"/>
    <xf numFmtId="0" fontId="4" fillId="0" borderId="0"/>
    <xf numFmtId="166" fontId="7" fillId="0" borderId="0" applyFont="0" applyFill="0" applyBorder="0" applyAlignment="0" applyProtection="0"/>
    <xf numFmtId="167" fontId="7" fillId="0" borderId="0" applyFont="0" applyFill="0" applyBorder="0" applyAlignment="0" applyProtection="0"/>
    <xf numFmtId="9" fontId="7" fillId="0" borderId="0" applyFont="0" applyFill="0" applyBorder="0" applyAlignment="0" applyProtection="0"/>
    <xf numFmtId="0" fontId="10" fillId="0" borderId="0" applyNumberFormat="0" applyFill="0" applyBorder="0" applyProtection="0">
      <alignment vertical="top" wrapText="1"/>
    </xf>
    <xf numFmtId="9" fontId="15" fillId="0" borderId="0" applyFont="0" applyFill="0" applyBorder="0" applyAlignment="0" applyProtection="0"/>
    <xf numFmtId="44" fontId="15" fillId="0" borderId="0" applyFont="0" applyFill="0" applyBorder="0" applyAlignment="0" applyProtection="0"/>
  </cellStyleXfs>
  <cellXfs count="276">
    <xf numFmtId="0" fontId="0" fillId="0" borderId="0" xfId="0"/>
    <xf numFmtId="0" fontId="3" fillId="0" borderId="0" xfId="1" applyFont="1"/>
    <xf numFmtId="0" fontId="6" fillId="0" borderId="0" xfId="2" applyFont="1" applyAlignment="1">
      <alignment horizontal="left"/>
    </xf>
    <xf numFmtId="0" fontId="3" fillId="0" borderId="0" xfId="1" applyFont="1" applyAlignment="1">
      <alignment vertical="center" wrapText="1"/>
    </xf>
    <xf numFmtId="0" fontId="8" fillId="0" borderId="0" xfId="1" applyFont="1" applyAlignment="1" applyProtection="1">
      <alignment horizontal="center"/>
      <protection locked="0"/>
    </xf>
    <xf numFmtId="0" fontId="8" fillId="0" borderId="0" xfId="1" applyFont="1"/>
    <xf numFmtId="0" fontId="5" fillId="0" borderId="0" xfId="1" applyFont="1"/>
    <xf numFmtId="168" fontId="3" fillId="0" borderId="0" xfId="1" applyNumberFormat="1" applyFont="1" applyAlignment="1">
      <alignment horizontal="center" vertical="center"/>
    </xf>
    <xf numFmtId="0" fontId="3" fillId="0" borderId="0" xfId="1" applyFont="1" applyAlignment="1">
      <alignment horizontal="center"/>
    </xf>
    <xf numFmtId="0" fontId="3" fillId="0" borderId="0" xfId="1" applyFont="1" applyAlignment="1">
      <alignment vertical="center"/>
    </xf>
    <xf numFmtId="0" fontId="14" fillId="3" borderId="0" xfId="1" applyFont="1" applyFill="1"/>
    <xf numFmtId="0" fontId="8" fillId="0" borderId="0" xfId="1" applyFont="1" applyAlignment="1">
      <alignment horizontal="center"/>
    </xf>
    <xf numFmtId="14" fontId="3" fillId="0" borderId="0" xfId="1" applyNumberFormat="1" applyFont="1"/>
    <xf numFmtId="0" fontId="8" fillId="2" borderId="11" xfId="1" applyFont="1" applyFill="1" applyBorder="1" applyAlignment="1">
      <alignment vertical="center" wrapText="1"/>
    </xf>
    <xf numFmtId="0" fontId="8" fillId="2" borderId="12" xfId="1" applyFont="1" applyFill="1" applyBorder="1" applyAlignment="1">
      <alignment vertical="center" wrapText="1"/>
    </xf>
    <xf numFmtId="1" fontId="8" fillId="2" borderId="12" xfId="4" applyNumberFormat="1" applyFont="1" applyFill="1" applyBorder="1" applyAlignment="1">
      <alignment horizontal="center" vertical="center" wrapText="1"/>
    </xf>
    <xf numFmtId="164" fontId="8" fillId="2" borderId="12" xfId="1" applyNumberFormat="1" applyFont="1" applyFill="1" applyBorder="1" applyAlignment="1">
      <alignment horizontal="center" vertical="center" wrapText="1"/>
    </xf>
    <xf numFmtId="9" fontId="8" fillId="2" borderId="12" xfId="5" applyFont="1" applyFill="1" applyBorder="1" applyAlignment="1">
      <alignment horizontal="center" vertical="center" wrapText="1"/>
    </xf>
    <xf numFmtId="0" fontId="8" fillId="2" borderId="12" xfId="1" applyFont="1" applyFill="1" applyBorder="1" applyAlignment="1">
      <alignment horizontal="center" vertical="center" wrapText="1"/>
    </xf>
    <xf numFmtId="14" fontId="6" fillId="0" borderId="0" xfId="2" applyNumberFormat="1" applyFont="1" applyAlignment="1">
      <alignment horizontal="left"/>
    </xf>
    <xf numFmtId="14" fontId="3" fillId="0" borderId="0" xfId="1" applyNumberFormat="1" applyFont="1" applyAlignment="1">
      <alignment horizontal="center" vertical="center"/>
    </xf>
    <xf numFmtId="14" fontId="8" fillId="2" borderId="12" xfId="1" applyNumberFormat="1" applyFont="1" applyFill="1" applyBorder="1" applyAlignment="1">
      <alignment horizontal="center" vertical="center" wrapText="1"/>
    </xf>
    <xf numFmtId="14" fontId="3" fillId="0" borderId="0" xfId="3" applyNumberFormat="1" applyFont="1" applyFill="1" applyBorder="1"/>
    <xf numFmtId="14" fontId="3" fillId="0" borderId="0" xfId="1" applyNumberFormat="1" applyFont="1" applyAlignment="1">
      <alignment horizontal="center"/>
    </xf>
    <xf numFmtId="14" fontId="8" fillId="2" borderId="13" xfId="1" applyNumberFormat="1" applyFont="1" applyFill="1" applyBorder="1" applyAlignment="1">
      <alignment horizontal="center" vertical="center" wrapText="1"/>
    </xf>
    <xf numFmtId="4" fontId="6" fillId="0" borderId="0" xfId="2" applyNumberFormat="1" applyFont="1" applyAlignment="1">
      <alignment horizontal="left"/>
    </xf>
    <xf numFmtId="4" fontId="3" fillId="0" borderId="0" xfId="1" applyNumberFormat="1" applyFont="1" applyAlignment="1">
      <alignment horizontal="center" vertical="center"/>
    </xf>
    <xf numFmtId="4" fontId="3" fillId="0" borderId="0" xfId="1" applyNumberFormat="1" applyFont="1"/>
    <xf numFmtId="4" fontId="8" fillId="2" borderId="12" xfId="1" applyNumberFormat="1" applyFont="1" applyFill="1" applyBorder="1" applyAlignment="1">
      <alignment horizontal="center" vertical="center" wrapText="1"/>
    </xf>
    <xf numFmtId="0" fontId="5" fillId="0" borderId="0" xfId="1" applyFont="1" applyAlignment="1" applyProtection="1">
      <alignment horizontal="center"/>
      <protection locked="0"/>
    </xf>
    <xf numFmtId="0" fontId="17" fillId="0" borderId="0" xfId="1" applyFont="1"/>
    <xf numFmtId="0" fontId="16" fillId="0" borderId="0" xfId="1" applyFont="1" applyAlignment="1" applyProtection="1">
      <alignment horizontal="center" vertical="center"/>
      <protection locked="0"/>
    </xf>
    <xf numFmtId="0" fontId="16" fillId="0" borderId="0" xfId="1" applyFont="1" applyAlignment="1" applyProtection="1">
      <alignment horizontal="center" vertical="center" wrapText="1"/>
      <protection locked="0"/>
    </xf>
    <xf numFmtId="0" fontId="5" fillId="0" borderId="0" xfId="1" applyFont="1" applyAlignment="1">
      <alignment horizontal="center"/>
    </xf>
    <xf numFmtId="0" fontId="8" fillId="7" borderId="0" xfId="1" applyFont="1" applyFill="1" applyAlignment="1" applyProtection="1">
      <alignment horizontal="center" vertical="center"/>
      <protection locked="0"/>
    </xf>
    <xf numFmtId="0" fontId="21" fillId="10" borderId="1" xfId="1" applyFont="1" applyFill="1" applyBorder="1"/>
    <xf numFmtId="0" fontId="23" fillId="10" borderId="1" xfId="1" applyFont="1" applyFill="1" applyBorder="1"/>
    <xf numFmtId="1" fontId="24" fillId="10" borderId="1" xfId="4" applyNumberFormat="1" applyFont="1" applyFill="1" applyBorder="1" applyAlignment="1">
      <alignment horizontal="center" vertical="center"/>
    </xf>
    <xf numFmtId="44" fontId="24" fillId="10" borderId="1" xfId="8" applyFont="1" applyFill="1" applyBorder="1" applyAlignment="1">
      <alignment horizontal="center" vertical="center"/>
    </xf>
    <xf numFmtId="44" fontId="23" fillId="10" borderId="1" xfId="8" applyFont="1" applyFill="1" applyBorder="1" applyAlignment="1">
      <alignment horizontal="center" vertical="center"/>
    </xf>
    <xf numFmtId="168" fontId="24" fillId="10" borderId="1" xfId="1" applyNumberFormat="1" applyFont="1" applyFill="1" applyBorder="1" applyAlignment="1">
      <alignment horizontal="center" vertical="center"/>
    </xf>
    <xf numFmtId="14" fontId="24" fillId="10" borderId="1" xfId="1" applyNumberFormat="1" applyFont="1" applyFill="1" applyBorder="1" applyAlignment="1">
      <alignment horizontal="center" vertical="center"/>
    </xf>
    <xf numFmtId="169" fontId="24" fillId="10" borderId="1" xfId="1" applyNumberFormat="1" applyFont="1" applyFill="1" applyBorder="1" applyAlignment="1">
      <alignment horizontal="center" vertical="center"/>
    </xf>
    <xf numFmtId="0" fontId="18" fillId="8" borderId="11" xfId="1" applyFont="1" applyFill="1" applyBorder="1" applyAlignment="1">
      <alignment horizontal="center" vertical="center" wrapText="1"/>
    </xf>
    <xf numFmtId="0" fontId="18" fillId="8" borderId="12" xfId="1" applyFont="1" applyFill="1" applyBorder="1" applyAlignment="1">
      <alignment horizontal="center" vertical="center" wrapText="1"/>
    </xf>
    <xf numFmtId="1" fontId="18" fillId="8" borderId="12" xfId="4" applyNumberFormat="1" applyFont="1" applyFill="1" applyBorder="1" applyAlignment="1">
      <alignment horizontal="center" vertical="center" wrapText="1"/>
    </xf>
    <xf numFmtId="164" fontId="18" fillId="8" borderId="12" xfId="1" applyNumberFormat="1" applyFont="1" applyFill="1" applyBorder="1" applyAlignment="1">
      <alignment horizontal="center" vertical="center" wrapText="1"/>
    </xf>
    <xf numFmtId="9" fontId="18" fillId="8" borderId="12" xfId="5" applyFont="1" applyFill="1" applyBorder="1" applyAlignment="1">
      <alignment horizontal="center" vertical="center" wrapText="1"/>
    </xf>
    <xf numFmtId="14" fontId="18" fillId="8" borderId="12" xfId="1" applyNumberFormat="1" applyFont="1" applyFill="1" applyBorder="1" applyAlignment="1">
      <alignment horizontal="center" vertical="center" wrapText="1"/>
    </xf>
    <xf numFmtId="0" fontId="18" fillId="8" borderId="13" xfId="1" applyFont="1" applyFill="1" applyBorder="1" applyAlignment="1">
      <alignment horizontal="center" vertical="center" wrapText="1"/>
    </xf>
    <xf numFmtId="0" fontId="17" fillId="0" borderId="16" xfId="1" applyFont="1" applyBorder="1" applyProtection="1">
      <protection locked="0"/>
    </xf>
    <xf numFmtId="0" fontId="17" fillId="0" borderId="16" xfId="1" applyFont="1" applyBorder="1" applyAlignment="1" applyProtection="1">
      <alignment horizontal="center" vertical="center"/>
      <protection locked="0"/>
    </xf>
    <xf numFmtId="44" fontId="17" fillId="0" borderId="16" xfId="8" applyFont="1" applyBorder="1" applyAlignment="1" applyProtection="1">
      <alignment horizontal="center" vertical="center"/>
      <protection locked="0"/>
    </xf>
    <xf numFmtId="170" fontId="17" fillId="0" borderId="16" xfId="1" applyNumberFormat="1" applyFont="1" applyBorder="1" applyAlignment="1">
      <alignment horizontal="center" vertical="center"/>
    </xf>
    <xf numFmtId="9" fontId="17" fillId="7" borderId="16" xfId="5" applyFont="1" applyFill="1" applyBorder="1" applyAlignment="1">
      <alignment horizontal="center" vertical="center" wrapText="1"/>
    </xf>
    <xf numFmtId="14" fontId="17" fillId="0" borderId="16" xfId="1" applyNumberFormat="1" applyFont="1" applyBorder="1" applyAlignment="1" applyProtection="1">
      <alignment horizontal="center"/>
      <protection locked="0"/>
    </xf>
    <xf numFmtId="0" fontId="17" fillId="0" borderId="16" xfId="1" applyFont="1" applyBorder="1" applyAlignment="1" applyProtection="1">
      <alignment horizontal="center"/>
      <protection locked="0"/>
    </xf>
    <xf numFmtId="170" fontId="17" fillId="0" borderId="16" xfId="1" applyNumberFormat="1" applyFont="1" applyBorder="1" applyAlignment="1">
      <alignment horizontal="center"/>
    </xf>
    <xf numFmtId="0" fontId="17" fillId="0" borderId="16" xfId="1" applyFont="1" applyBorder="1" applyAlignment="1">
      <alignment horizontal="center"/>
    </xf>
    <xf numFmtId="0" fontId="9" fillId="6" borderId="2" xfId="1" applyFont="1" applyFill="1" applyBorder="1" applyAlignment="1">
      <alignment horizontal="left"/>
    </xf>
    <xf numFmtId="0" fontId="18" fillId="8" borderId="17" xfId="1" applyFont="1" applyFill="1" applyBorder="1" applyAlignment="1">
      <alignment horizontal="center" vertical="center" wrapText="1"/>
    </xf>
    <xf numFmtId="0" fontId="18" fillId="8" borderId="15" xfId="1" applyFont="1" applyFill="1" applyBorder="1" applyAlignment="1">
      <alignment horizontal="center" vertical="center" wrapText="1"/>
    </xf>
    <xf numFmtId="1" fontId="18" fillId="8" borderId="15" xfId="4" applyNumberFormat="1" applyFont="1" applyFill="1" applyBorder="1" applyAlignment="1">
      <alignment horizontal="center" vertical="center" wrapText="1"/>
    </xf>
    <xf numFmtId="4" fontId="18" fillId="8" borderId="15" xfId="1" applyNumberFormat="1" applyFont="1" applyFill="1" applyBorder="1" applyAlignment="1">
      <alignment horizontal="center" vertical="center" wrapText="1"/>
    </xf>
    <xf numFmtId="164" fontId="18" fillId="8" borderId="15" xfId="1" applyNumberFormat="1" applyFont="1" applyFill="1" applyBorder="1" applyAlignment="1">
      <alignment horizontal="center" vertical="center" wrapText="1"/>
    </xf>
    <xf numFmtId="9" fontId="18" fillId="8" borderId="15" xfId="5" applyFont="1" applyFill="1" applyBorder="1" applyAlignment="1">
      <alignment horizontal="center" vertical="center" wrapText="1"/>
    </xf>
    <xf numFmtId="14" fontId="18" fillId="8" borderId="15" xfId="1" applyNumberFormat="1" applyFont="1" applyFill="1" applyBorder="1" applyAlignment="1">
      <alignment horizontal="center" vertical="center" wrapText="1"/>
    </xf>
    <xf numFmtId="0" fontId="18" fillId="8" borderId="18" xfId="1" applyFont="1" applyFill="1" applyBorder="1" applyAlignment="1">
      <alignment horizontal="center" vertical="center" wrapText="1"/>
    </xf>
    <xf numFmtId="0" fontId="17" fillId="7" borderId="5" xfId="1" applyFont="1" applyFill="1" applyBorder="1" applyProtection="1">
      <protection locked="0"/>
    </xf>
    <xf numFmtId="0" fontId="17" fillId="7" borderId="5" xfId="1" applyFont="1" applyFill="1" applyBorder="1" applyAlignment="1" applyProtection="1">
      <alignment horizontal="center" vertical="center"/>
      <protection locked="0"/>
    </xf>
    <xf numFmtId="44" fontId="17" fillId="7" borderId="5" xfId="8" applyFont="1" applyFill="1" applyBorder="1" applyAlignment="1" applyProtection="1">
      <alignment horizontal="center" vertical="center"/>
      <protection locked="0"/>
    </xf>
    <xf numFmtId="170" fontId="17" fillId="7" borderId="5" xfId="1" applyNumberFormat="1" applyFont="1" applyFill="1" applyBorder="1" applyAlignment="1">
      <alignment horizontal="center" vertical="center"/>
    </xf>
    <xf numFmtId="9" fontId="17" fillId="7" borderId="5" xfId="7" applyFont="1" applyFill="1" applyBorder="1" applyAlignment="1" applyProtection="1">
      <alignment horizontal="center" vertical="center"/>
      <protection locked="0"/>
    </xf>
    <xf numFmtId="14" fontId="17" fillId="7" borderId="5" xfId="1" applyNumberFormat="1" applyFont="1" applyFill="1" applyBorder="1" applyAlignment="1" applyProtection="1">
      <alignment horizontal="center"/>
      <protection locked="0"/>
    </xf>
    <xf numFmtId="0" fontId="17" fillId="7" borderId="5" xfId="1" applyFont="1" applyFill="1" applyBorder="1" applyAlignment="1" applyProtection="1">
      <alignment horizontal="center"/>
      <protection locked="0"/>
    </xf>
    <xf numFmtId="44" fontId="17" fillId="7" borderId="5" xfId="8" applyFont="1" applyFill="1" applyBorder="1" applyAlignment="1">
      <alignment horizontal="center"/>
    </xf>
    <xf numFmtId="0" fontId="17" fillId="7" borderId="5" xfId="1" applyFont="1" applyFill="1" applyBorder="1" applyAlignment="1">
      <alignment horizontal="center"/>
    </xf>
    <xf numFmtId="0" fontId="17" fillId="7" borderId="5" xfId="7" applyNumberFormat="1" applyFont="1" applyFill="1" applyBorder="1" applyAlignment="1" applyProtection="1">
      <alignment horizontal="center" vertical="center"/>
      <protection locked="0"/>
    </xf>
    <xf numFmtId="0" fontId="17" fillId="7" borderId="19" xfId="1" applyFont="1" applyFill="1" applyBorder="1" applyProtection="1">
      <protection locked="0"/>
    </xf>
    <xf numFmtId="9" fontId="17" fillId="0" borderId="5" xfId="7" applyFont="1" applyFill="1" applyBorder="1" applyAlignment="1" applyProtection="1">
      <alignment horizontal="center" vertical="center"/>
      <protection locked="0"/>
    </xf>
    <xf numFmtId="14" fontId="17" fillId="7" borderId="3" xfId="1" applyNumberFormat="1" applyFont="1" applyFill="1" applyBorder="1" applyAlignment="1" applyProtection="1">
      <alignment horizontal="center"/>
      <protection locked="0"/>
    </xf>
    <xf numFmtId="0" fontId="17" fillId="7" borderId="3" xfId="1" applyFont="1" applyFill="1" applyBorder="1" applyAlignment="1" applyProtection="1">
      <alignment horizontal="center"/>
      <protection locked="0"/>
    </xf>
    <xf numFmtId="9" fontId="17" fillId="5" borderId="5" xfId="7" applyFont="1" applyFill="1" applyBorder="1" applyAlignment="1" applyProtection="1">
      <alignment horizontal="center" vertical="center"/>
      <protection locked="0"/>
    </xf>
    <xf numFmtId="0" fontId="8" fillId="2" borderId="0" xfId="1" applyFont="1" applyFill="1" applyAlignment="1">
      <alignment horizontal="left" vertical="center" wrapText="1"/>
    </xf>
    <xf numFmtId="0" fontId="8" fillId="2" borderId="0" xfId="1" applyFont="1" applyFill="1" applyAlignment="1">
      <alignment vertical="center" wrapText="1"/>
    </xf>
    <xf numFmtId="1" fontId="8" fillId="2" borderId="0" xfId="4" applyNumberFormat="1" applyFont="1" applyFill="1" applyAlignment="1">
      <alignment horizontal="center" vertical="center" wrapText="1"/>
    </xf>
    <xf numFmtId="4" fontId="8" fillId="2" borderId="0" xfId="1" applyNumberFormat="1" applyFont="1" applyFill="1" applyAlignment="1">
      <alignment horizontal="center" vertical="center" wrapText="1"/>
    </xf>
    <xf numFmtId="164" fontId="8" fillId="2" borderId="0" xfId="1" applyNumberFormat="1" applyFont="1" applyFill="1" applyAlignment="1">
      <alignment horizontal="center" vertical="center" wrapText="1"/>
    </xf>
    <xf numFmtId="9" fontId="8" fillId="2" borderId="0" xfId="5" applyFont="1" applyFill="1" applyAlignment="1">
      <alignment horizontal="center" vertical="center" wrapText="1"/>
    </xf>
    <xf numFmtId="14" fontId="8" fillId="2" borderId="0" xfId="1" applyNumberFormat="1" applyFont="1" applyFill="1" applyAlignment="1">
      <alignment horizontal="center" vertical="center" wrapText="1"/>
    </xf>
    <xf numFmtId="0" fontId="8" fillId="2" borderId="0" xfId="1" applyFont="1" applyFill="1" applyAlignment="1">
      <alignment horizontal="center" vertical="center" wrapText="1"/>
    </xf>
    <xf numFmtId="0" fontId="14" fillId="3" borderId="0" xfId="1" applyFont="1" applyFill="1" applyAlignment="1">
      <alignment horizontal="left"/>
    </xf>
    <xf numFmtId="0" fontId="17" fillId="0" borderId="5" xfId="7" applyNumberFormat="1" applyFont="1" applyFill="1" applyBorder="1" applyAlignment="1" applyProtection="1">
      <alignment horizontal="center" vertical="center"/>
      <protection locked="0"/>
    </xf>
    <xf numFmtId="171" fontId="17" fillId="0" borderId="16" xfId="1" applyNumberFormat="1" applyFont="1" applyBorder="1" applyAlignment="1" applyProtection="1">
      <alignment horizontal="center"/>
      <protection locked="0"/>
    </xf>
    <xf numFmtId="0" fontId="17" fillId="7" borderId="3" xfId="1" applyFont="1" applyFill="1" applyBorder="1" applyProtection="1">
      <protection locked="0"/>
    </xf>
    <xf numFmtId="170" fontId="17" fillId="7" borderId="3" xfId="1" applyNumberFormat="1" applyFont="1" applyFill="1" applyBorder="1" applyAlignment="1">
      <alignment horizontal="center" vertical="center"/>
    </xf>
    <xf numFmtId="0" fontId="3" fillId="0" borderId="0" xfId="1" applyFont="1" applyAlignment="1">
      <alignment horizontal="center" vertical="center" wrapText="1"/>
    </xf>
    <xf numFmtId="171" fontId="17" fillId="7" borderId="5" xfId="1" applyNumberFormat="1" applyFont="1" applyFill="1" applyBorder="1" applyAlignment="1" applyProtection="1">
      <alignment horizontal="center"/>
      <protection locked="0"/>
    </xf>
    <xf numFmtId="0" fontId="3" fillId="0" borderId="0" xfId="1" applyFont="1" applyAlignment="1">
      <alignment horizontal="center" vertical="center"/>
    </xf>
    <xf numFmtId="0" fontId="17" fillId="0" borderId="0" xfId="1" applyFont="1" applyAlignment="1">
      <alignment horizontal="center"/>
    </xf>
    <xf numFmtId="0" fontId="17" fillId="0" borderId="5" xfId="1" applyFont="1" applyBorder="1" applyProtection="1">
      <protection locked="0"/>
    </xf>
    <xf numFmtId="0" fontId="17" fillId="0" borderId="5" xfId="1" applyFont="1" applyBorder="1" applyAlignment="1" applyProtection="1">
      <alignment horizontal="center" vertical="center"/>
      <protection locked="0"/>
    </xf>
    <xf numFmtId="170" fontId="17" fillId="0" borderId="5" xfId="1" applyNumberFormat="1" applyFont="1" applyBorder="1" applyAlignment="1">
      <alignment horizontal="center" vertical="center"/>
    </xf>
    <xf numFmtId="9" fontId="17" fillId="7" borderId="5" xfId="5" applyFont="1" applyFill="1" applyBorder="1" applyAlignment="1">
      <alignment horizontal="center" vertical="center" wrapText="1"/>
    </xf>
    <xf numFmtId="14" fontId="17" fillId="0" borderId="5" xfId="1" applyNumberFormat="1" applyFont="1" applyBorder="1" applyAlignment="1" applyProtection="1">
      <alignment horizontal="center"/>
      <protection locked="0"/>
    </xf>
    <xf numFmtId="171" fontId="17" fillId="0" borderId="5" xfId="1" applyNumberFormat="1" applyFont="1" applyBorder="1" applyAlignment="1" applyProtection="1">
      <alignment horizontal="center"/>
      <protection locked="0"/>
    </xf>
    <xf numFmtId="0" fontId="17" fillId="0" borderId="5" xfId="1" applyFont="1" applyBorder="1" applyAlignment="1" applyProtection="1">
      <alignment horizontal="center"/>
      <protection locked="0"/>
    </xf>
    <xf numFmtId="0" fontId="17" fillId="0" borderId="5" xfId="1" applyFont="1" applyBorder="1" applyAlignment="1">
      <alignment horizontal="center"/>
    </xf>
    <xf numFmtId="0" fontId="17" fillId="7" borderId="5" xfId="1" applyFont="1" applyFill="1" applyBorder="1"/>
    <xf numFmtId="0" fontId="17" fillId="7" borderId="5" xfId="1" applyFont="1" applyFill="1" applyBorder="1" applyAlignment="1">
      <alignment horizontal="center" vertical="center"/>
    </xf>
    <xf numFmtId="14" fontId="17" fillId="7" borderId="5" xfId="1" applyNumberFormat="1" applyFont="1" applyFill="1" applyBorder="1" applyAlignment="1">
      <alignment horizontal="center"/>
    </xf>
    <xf numFmtId="0" fontId="17" fillId="0" borderId="0" xfId="1" applyFont="1" applyProtection="1">
      <protection locked="0"/>
    </xf>
    <xf numFmtId="44" fontId="17" fillId="7" borderId="5" xfId="8" applyFont="1" applyFill="1" applyBorder="1" applyAlignment="1">
      <alignment horizontal="center" vertical="center"/>
    </xf>
    <xf numFmtId="0" fontId="17" fillId="7" borderId="21" xfId="1" applyFont="1" applyFill="1" applyBorder="1" applyAlignment="1">
      <alignment horizontal="center"/>
    </xf>
    <xf numFmtId="0" fontId="17" fillId="7" borderId="21" xfId="1" applyFont="1" applyFill="1" applyBorder="1" applyAlignment="1">
      <alignment horizontal="center" wrapText="1"/>
    </xf>
    <xf numFmtId="0" fontId="17" fillId="7" borderId="19" xfId="1" applyFont="1" applyFill="1" applyBorder="1" applyAlignment="1">
      <alignment wrapText="1"/>
    </xf>
    <xf numFmtId="0" fontId="17" fillId="7" borderId="19" xfId="1" applyFont="1" applyFill="1" applyBorder="1" applyAlignment="1" applyProtection="1">
      <alignment wrapText="1"/>
      <protection locked="0"/>
    </xf>
    <xf numFmtId="44" fontId="17" fillId="7" borderId="3" xfId="8" applyFont="1" applyFill="1" applyBorder="1" applyAlignment="1" applyProtection="1">
      <alignment horizontal="center" vertical="center"/>
      <protection locked="0"/>
    </xf>
    <xf numFmtId="9" fontId="17" fillId="7" borderId="3" xfId="7" applyFont="1" applyFill="1" applyBorder="1" applyAlignment="1" applyProtection="1">
      <alignment horizontal="center" vertical="center"/>
      <protection locked="0"/>
    </xf>
    <xf numFmtId="44" fontId="17" fillId="7" borderId="3" xfId="8" applyFont="1" applyFill="1" applyBorder="1" applyAlignment="1">
      <alignment horizontal="center"/>
    </xf>
    <xf numFmtId="0" fontId="26" fillId="10" borderId="0" xfId="0" applyFont="1" applyFill="1"/>
    <xf numFmtId="0" fontId="27" fillId="0" borderId="0" xfId="1" applyFont="1" applyAlignment="1">
      <alignment horizontal="center" vertical="center"/>
    </xf>
    <xf numFmtId="0" fontId="8" fillId="0" borderId="0" xfId="2" applyFont="1" applyAlignment="1">
      <alignment horizontal="center" wrapText="1"/>
    </xf>
    <xf numFmtId="0" fontId="22" fillId="8" borderId="17" xfId="2" applyFont="1" applyFill="1" applyBorder="1" applyAlignment="1">
      <alignment horizontal="center" vertical="center" wrapText="1"/>
    </xf>
    <xf numFmtId="14" fontId="27" fillId="0" borderId="0" xfId="1" applyNumberFormat="1" applyFont="1" applyAlignment="1">
      <alignment horizontal="center" vertical="center"/>
    </xf>
    <xf numFmtId="0" fontId="26" fillId="8" borderId="0" xfId="0" applyFont="1" applyFill="1"/>
    <xf numFmtId="0" fontId="28" fillId="0" borderId="4" xfId="2" applyFont="1" applyBorder="1" applyAlignment="1">
      <alignment vertical="center"/>
    </xf>
    <xf numFmtId="170" fontId="29" fillId="6" borderId="4" xfId="2" applyNumberFormat="1" applyFont="1" applyFill="1" applyBorder="1" applyAlignment="1">
      <alignment horizontal="center" vertical="center"/>
    </xf>
    <xf numFmtId="0" fontId="18" fillId="8" borderId="5" xfId="2" applyFont="1" applyFill="1" applyBorder="1" applyAlignment="1">
      <alignment horizontal="center" vertical="center" wrapText="1"/>
    </xf>
    <xf numFmtId="4" fontId="18" fillId="8" borderId="5" xfId="2" applyNumberFormat="1" applyFont="1" applyFill="1" applyBorder="1" applyAlignment="1">
      <alignment horizontal="center" vertical="center" wrapText="1"/>
    </xf>
    <xf numFmtId="14" fontId="27" fillId="0" borderId="0" xfId="1" applyNumberFormat="1" applyFont="1" applyAlignment="1" applyProtection="1">
      <alignment horizontal="center" vertical="center"/>
      <protection hidden="1"/>
    </xf>
    <xf numFmtId="0" fontId="17" fillId="6" borderId="0" xfId="1" applyFont="1" applyFill="1"/>
    <xf numFmtId="170" fontId="29" fillId="6" borderId="4" xfId="2" applyNumberFormat="1" applyFont="1" applyFill="1" applyBorder="1" applyAlignment="1">
      <alignment vertical="center"/>
    </xf>
    <xf numFmtId="170" fontId="29" fillId="6" borderId="5" xfId="2" applyNumberFormat="1" applyFont="1" applyFill="1" applyBorder="1" applyAlignment="1">
      <alignment vertical="center"/>
    </xf>
    <xf numFmtId="4" fontId="29" fillId="6" borderId="5" xfId="2" applyNumberFormat="1" applyFont="1" applyFill="1" applyBorder="1" applyAlignment="1">
      <alignment vertical="center"/>
    </xf>
    <xf numFmtId="0" fontId="28" fillId="0" borderId="5" xfId="2" applyFont="1" applyBorder="1" applyAlignment="1">
      <alignment horizontal="center" vertical="center"/>
    </xf>
    <xf numFmtId="0" fontId="26" fillId="5" borderId="0" xfId="0" applyFont="1" applyFill="1"/>
    <xf numFmtId="0" fontId="28" fillId="0" borderId="6" xfId="2" applyFont="1" applyBorder="1" applyAlignment="1">
      <alignment vertical="center"/>
    </xf>
    <xf numFmtId="170" fontId="29" fillId="0" borderId="6" xfId="2" applyNumberFormat="1" applyFont="1" applyBorder="1" applyAlignment="1">
      <alignment horizontal="center" vertical="center"/>
    </xf>
    <xf numFmtId="170" fontId="29" fillId="0" borderId="5" xfId="2" applyNumberFormat="1" applyFont="1" applyBorder="1" applyAlignment="1">
      <alignment horizontal="center" vertical="center"/>
    </xf>
    <xf numFmtId="4" fontId="29" fillId="0" borderId="5" xfId="2" applyNumberFormat="1" applyFont="1" applyBorder="1" applyAlignment="1">
      <alignment horizontal="center" vertical="center"/>
    </xf>
    <xf numFmtId="0" fontId="30" fillId="0" borderId="5" xfId="0" applyFont="1" applyBorder="1" applyAlignment="1">
      <alignment horizontal="center" vertical="center"/>
    </xf>
    <xf numFmtId="4" fontId="30" fillId="0" borderId="5" xfId="0" applyNumberFormat="1" applyFont="1" applyBorder="1" applyAlignment="1">
      <alignment horizontal="center" vertical="center"/>
    </xf>
    <xf numFmtId="170" fontId="17" fillId="0" borderId="0" xfId="1" applyNumberFormat="1" applyFont="1"/>
    <xf numFmtId="0" fontId="26" fillId="11" borderId="0" xfId="0" applyFont="1" applyFill="1"/>
    <xf numFmtId="0" fontId="28" fillId="0" borderId="7" xfId="2" applyFont="1" applyBorder="1" applyAlignment="1">
      <alignment vertical="center"/>
    </xf>
    <xf numFmtId="170" fontId="29" fillId="5" borderId="7" xfId="2" applyNumberFormat="1" applyFont="1" applyFill="1" applyBorder="1" applyAlignment="1">
      <alignment horizontal="center" vertical="center"/>
    </xf>
    <xf numFmtId="170" fontId="29" fillId="5" borderId="5" xfId="2" applyNumberFormat="1" applyFont="1" applyFill="1" applyBorder="1" applyAlignment="1">
      <alignment horizontal="center" vertical="center"/>
    </xf>
    <xf numFmtId="0" fontId="26" fillId="12" borderId="0" xfId="0" applyFont="1" applyFill="1"/>
    <xf numFmtId="0" fontId="29" fillId="0" borderId="8" xfId="2" applyFont="1" applyBorder="1"/>
    <xf numFmtId="165" fontId="29" fillId="0" borderId="8" xfId="2" applyNumberFormat="1" applyFont="1" applyBorder="1"/>
    <xf numFmtId="0" fontId="29" fillId="0" borderId="0" xfId="2" applyFont="1" applyAlignment="1">
      <alignment horizontal="left"/>
    </xf>
    <xf numFmtId="4" fontId="29" fillId="0" borderId="0" xfId="2" applyNumberFormat="1" applyFont="1" applyAlignment="1">
      <alignment horizontal="left"/>
    </xf>
    <xf numFmtId="14" fontId="29" fillId="0" borderId="0" xfId="2" applyNumberFormat="1" applyFont="1" applyAlignment="1">
      <alignment horizontal="left"/>
    </xf>
    <xf numFmtId="14" fontId="17" fillId="0" borderId="0" xfId="3" applyNumberFormat="1" applyFont="1" applyFill="1" applyBorder="1"/>
    <xf numFmtId="14" fontId="17" fillId="0" borderId="0" xfId="1" applyNumberFormat="1" applyFont="1"/>
    <xf numFmtId="0" fontId="17" fillId="0" borderId="0" xfId="1" applyFont="1" applyAlignment="1">
      <alignment vertical="center"/>
    </xf>
    <xf numFmtId="0" fontId="31" fillId="0" borderId="0" xfId="1" applyFont="1" applyAlignment="1" applyProtection="1">
      <alignment horizontal="center" vertical="center"/>
      <protection locked="0"/>
    </xf>
    <xf numFmtId="0" fontId="17" fillId="0" borderId="0" xfId="1" applyFont="1" applyAlignment="1">
      <alignment vertical="center" wrapText="1"/>
    </xf>
    <xf numFmtId="0" fontId="31" fillId="0" borderId="0" xfId="1" applyFont="1" applyAlignment="1" applyProtection="1">
      <alignment horizontal="center" vertical="center" wrapText="1"/>
      <protection locked="0"/>
    </xf>
    <xf numFmtId="1" fontId="33" fillId="10" borderId="1" xfId="4" applyNumberFormat="1" applyFont="1" applyFill="1" applyBorder="1" applyAlignment="1">
      <alignment horizontal="center" vertical="center"/>
    </xf>
    <xf numFmtId="44" fontId="33" fillId="10" borderId="1" xfId="8" applyFont="1" applyFill="1" applyBorder="1" applyAlignment="1">
      <alignment horizontal="center" vertical="center"/>
    </xf>
    <xf numFmtId="44" fontId="21" fillId="10" borderId="1" xfId="8" applyFont="1" applyFill="1" applyBorder="1" applyAlignment="1">
      <alignment horizontal="center" vertical="center"/>
    </xf>
    <xf numFmtId="168" fontId="33" fillId="10" borderId="1" xfId="1" applyNumberFormat="1" applyFont="1" applyFill="1" applyBorder="1" applyAlignment="1">
      <alignment horizontal="center" vertical="center"/>
    </xf>
    <xf numFmtId="14" fontId="33" fillId="10" borderId="1" xfId="1" applyNumberFormat="1" applyFont="1" applyFill="1" applyBorder="1" applyAlignment="1">
      <alignment horizontal="center" vertical="center"/>
    </xf>
    <xf numFmtId="169" fontId="33" fillId="10" borderId="1" xfId="1" applyNumberFormat="1" applyFont="1" applyFill="1" applyBorder="1" applyAlignment="1">
      <alignment horizontal="center" vertical="center"/>
    </xf>
    <xf numFmtId="4" fontId="17" fillId="0" borderId="0" xfId="1" applyNumberFormat="1" applyFont="1" applyAlignment="1">
      <alignment horizontal="center" vertical="center"/>
    </xf>
    <xf numFmtId="168" fontId="17" fillId="0" borderId="0" xfId="1" applyNumberFormat="1" applyFont="1" applyAlignment="1">
      <alignment horizontal="center" vertical="center"/>
    </xf>
    <xf numFmtId="14" fontId="17" fillId="0" borderId="0" xfId="1" applyNumberFormat="1" applyFont="1" applyAlignment="1">
      <alignment horizontal="center" vertical="center"/>
    </xf>
    <xf numFmtId="14" fontId="17" fillId="0" borderId="0" xfId="1" applyNumberFormat="1" applyFont="1" applyAlignment="1">
      <alignment horizontal="center"/>
    </xf>
    <xf numFmtId="0" fontId="17" fillId="7" borderId="0" xfId="1" applyFont="1" applyFill="1" applyAlignment="1">
      <alignment vertical="center"/>
    </xf>
    <xf numFmtId="0" fontId="8" fillId="7" borderId="0" xfId="1" applyFont="1" applyFill="1" applyAlignment="1">
      <alignment horizontal="center"/>
    </xf>
    <xf numFmtId="0" fontId="17" fillId="7" borderId="0" xfId="1" applyFont="1" applyFill="1"/>
    <xf numFmtId="0" fontId="29" fillId="7" borderId="19" xfId="0" applyFont="1" applyFill="1" applyBorder="1"/>
    <xf numFmtId="0" fontId="29" fillId="7" borderId="5" xfId="0" applyFont="1" applyFill="1" applyBorder="1" applyAlignment="1">
      <alignment horizontal="center"/>
    </xf>
    <xf numFmtId="0" fontId="29" fillId="7" borderId="20" xfId="0" applyFont="1" applyFill="1" applyBorder="1"/>
    <xf numFmtId="0" fontId="29" fillId="7" borderId="3" xfId="0" applyFont="1" applyFill="1" applyBorder="1" applyAlignment="1">
      <alignment horizontal="center"/>
    </xf>
    <xf numFmtId="1" fontId="17" fillId="0" borderId="0" xfId="1" applyNumberFormat="1" applyFont="1"/>
    <xf numFmtId="4" fontId="17" fillId="0" borderId="0" xfId="1" applyNumberFormat="1" applyFont="1"/>
    <xf numFmtId="0" fontId="17" fillId="0" borderId="10" xfId="1" applyFont="1" applyBorder="1" applyProtection="1">
      <protection locked="0"/>
    </xf>
    <xf numFmtId="0" fontId="17" fillId="0" borderId="10" xfId="1" applyFont="1" applyBorder="1" applyAlignment="1" applyProtection="1">
      <alignment horizontal="left"/>
      <protection locked="0"/>
    </xf>
    <xf numFmtId="0" fontId="17" fillId="4" borderId="10" xfId="1" applyFont="1" applyFill="1" applyBorder="1"/>
    <xf numFmtId="0" fontId="17" fillId="0" borderId="10" xfId="1" applyFont="1" applyBorder="1" applyAlignment="1" applyProtection="1">
      <alignment horizontal="center"/>
      <protection locked="0"/>
    </xf>
    <xf numFmtId="4" fontId="17" fillId="7" borderId="10" xfId="1" applyNumberFormat="1" applyFont="1" applyFill="1" applyBorder="1" applyAlignment="1" applyProtection="1">
      <alignment horizontal="center"/>
      <protection locked="0"/>
    </xf>
    <xf numFmtId="170" fontId="17" fillId="0" borderId="10" xfId="1" applyNumberFormat="1" applyFont="1" applyBorder="1" applyAlignment="1">
      <alignment horizontal="center"/>
    </xf>
    <xf numFmtId="4" fontId="17" fillId="0" borderId="10" xfId="1" applyNumberFormat="1" applyFont="1" applyBorder="1" applyAlignment="1">
      <alignment horizontal="center"/>
    </xf>
    <xf numFmtId="0" fontId="17" fillId="0" borderId="9" xfId="1" applyFont="1" applyBorder="1" applyProtection="1">
      <protection locked="0"/>
    </xf>
    <xf numFmtId="0" fontId="17" fillId="0" borderId="9" xfId="1" applyFont="1" applyBorder="1" applyAlignment="1" applyProtection="1">
      <alignment horizontal="left"/>
      <protection locked="0"/>
    </xf>
    <xf numFmtId="0" fontId="17" fillId="4" borderId="9" xfId="1" applyFont="1" applyFill="1" applyBorder="1"/>
    <xf numFmtId="0" fontId="17" fillId="0" borderId="9" xfId="1" applyFont="1" applyBorder="1" applyAlignment="1" applyProtection="1">
      <alignment horizontal="center"/>
      <protection locked="0"/>
    </xf>
    <xf numFmtId="4" fontId="17" fillId="7" borderId="9" xfId="1" applyNumberFormat="1" applyFont="1" applyFill="1" applyBorder="1" applyAlignment="1" applyProtection="1">
      <alignment horizontal="center"/>
      <protection locked="0"/>
    </xf>
    <xf numFmtId="170" fontId="17" fillId="0" borderId="9" xfId="1" applyNumberFormat="1" applyFont="1" applyBorder="1" applyAlignment="1">
      <alignment horizontal="center"/>
    </xf>
    <xf numFmtId="9" fontId="17" fillId="0" borderId="9" xfId="1" applyNumberFormat="1" applyFont="1" applyBorder="1" applyAlignment="1" applyProtection="1">
      <alignment horizontal="center"/>
      <protection locked="0"/>
    </xf>
    <xf numFmtId="14" fontId="17" fillId="0" borderId="9" xfId="1" applyNumberFormat="1" applyFont="1" applyBorder="1" applyAlignment="1" applyProtection="1">
      <alignment horizontal="center"/>
      <protection locked="0"/>
    </xf>
    <xf numFmtId="4" fontId="17" fillId="0" borderId="9" xfId="1" applyNumberFormat="1" applyFont="1" applyBorder="1" applyAlignment="1" applyProtection="1">
      <alignment horizontal="center"/>
      <protection locked="0"/>
    </xf>
    <xf numFmtId="0" fontId="17" fillId="0" borderId="14" xfId="1" applyFont="1" applyBorder="1" applyProtection="1">
      <protection locked="0"/>
    </xf>
    <xf numFmtId="0" fontId="17" fillId="4" borderId="9" xfId="1" applyFont="1" applyFill="1" applyBorder="1" applyAlignment="1">
      <alignment wrapText="1"/>
    </xf>
    <xf numFmtId="0" fontId="17" fillId="7" borderId="14" xfId="1" applyFont="1" applyFill="1" applyBorder="1"/>
    <xf numFmtId="0" fontId="17" fillId="7" borderId="9" xfId="1" applyFont="1" applyFill="1" applyBorder="1"/>
    <xf numFmtId="0" fontId="17" fillId="7" borderId="9" xfId="1" applyFont="1" applyFill="1" applyBorder="1" applyAlignment="1">
      <alignment horizontal="center" vertical="center"/>
    </xf>
    <xf numFmtId="4" fontId="17" fillId="7" borderId="9" xfId="1" applyNumberFormat="1" applyFont="1" applyFill="1" applyBorder="1" applyAlignment="1">
      <alignment horizontal="center" vertical="center"/>
    </xf>
    <xf numFmtId="1" fontId="14" fillId="3" borderId="0" xfId="4" applyNumberFormat="1" applyFont="1" applyFill="1" applyAlignment="1">
      <alignment horizontal="center"/>
    </xf>
    <xf numFmtId="4" fontId="14" fillId="3" borderId="0" xfId="1" applyNumberFormat="1" applyFont="1" applyFill="1" applyAlignment="1">
      <alignment horizontal="center"/>
    </xf>
    <xf numFmtId="170" fontId="14" fillId="3" borderId="0" xfId="1" applyNumberFormat="1" applyFont="1" applyFill="1" applyAlignment="1">
      <alignment horizontal="center"/>
    </xf>
    <xf numFmtId="168" fontId="14" fillId="3" borderId="0" xfId="1" applyNumberFormat="1" applyFont="1" applyFill="1" applyAlignment="1">
      <alignment horizontal="center"/>
    </xf>
    <xf numFmtId="14" fontId="14" fillId="3" borderId="0" xfId="1" applyNumberFormat="1" applyFont="1" applyFill="1" applyAlignment="1">
      <alignment horizontal="center"/>
    </xf>
    <xf numFmtId="169" fontId="14" fillId="3" borderId="0" xfId="1" applyNumberFormat="1" applyFont="1" applyFill="1" applyAlignment="1">
      <alignment horizontal="left"/>
    </xf>
    <xf numFmtId="4" fontId="14" fillId="3" borderId="0" xfId="1" applyNumberFormat="1" applyFont="1" applyFill="1" applyAlignment="1">
      <alignment horizontal="left"/>
    </xf>
    <xf numFmtId="0" fontId="17" fillId="4" borderId="0" xfId="1" applyFont="1" applyFill="1"/>
    <xf numFmtId="0" fontId="17" fillId="7" borderId="0" xfId="1" applyFont="1" applyFill="1" applyAlignment="1">
      <alignment horizontal="center" vertical="center"/>
    </xf>
    <xf numFmtId="4" fontId="17" fillId="7" borderId="0" xfId="1" applyNumberFormat="1" applyFont="1" applyFill="1" applyAlignment="1">
      <alignment horizontal="center" vertical="center"/>
    </xf>
    <xf numFmtId="170" fontId="17" fillId="0" borderId="0" xfId="1" applyNumberFormat="1" applyFont="1" applyAlignment="1">
      <alignment horizontal="center"/>
    </xf>
    <xf numFmtId="9" fontId="17" fillId="0" borderId="0" xfId="1" applyNumberFormat="1" applyFont="1" applyAlignment="1" applyProtection="1">
      <alignment horizontal="center"/>
      <protection locked="0"/>
    </xf>
    <xf numFmtId="14" fontId="17" fillId="0" borderId="0" xfId="1" applyNumberFormat="1" applyFont="1" applyAlignment="1" applyProtection="1">
      <alignment horizontal="center"/>
      <protection locked="0"/>
    </xf>
    <xf numFmtId="4" fontId="17" fillId="0" borderId="0" xfId="1" applyNumberFormat="1" applyFont="1" applyAlignment="1">
      <alignment horizontal="center"/>
    </xf>
    <xf numFmtId="0" fontId="34" fillId="0" borderId="0" xfId="1" applyFont="1"/>
    <xf numFmtId="4" fontId="34" fillId="0" borderId="0" xfId="1" applyNumberFormat="1" applyFont="1"/>
    <xf numFmtId="14" fontId="34" fillId="0" borderId="0" xfId="1" applyNumberFormat="1" applyFont="1"/>
    <xf numFmtId="171" fontId="17" fillId="0" borderId="0" xfId="1" applyNumberFormat="1" applyFont="1" applyAlignment="1">
      <alignment horizontal="center"/>
    </xf>
    <xf numFmtId="1" fontId="0" fillId="10" borderId="1" xfId="4" applyNumberFormat="1" applyFont="1" applyFill="1" applyBorder="1" applyAlignment="1">
      <alignment horizontal="center" vertical="center"/>
    </xf>
    <xf numFmtId="44" fontId="0" fillId="10" borderId="1" xfId="8" applyFont="1" applyFill="1" applyBorder="1" applyAlignment="1">
      <alignment horizontal="center" vertical="center"/>
    </xf>
    <xf numFmtId="0" fontId="17" fillId="7" borderId="5" xfId="0" applyFont="1" applyFill="1" applyBorder="1"/>
    <xf numFmtId="0" fontId="17" fillId="7" borderId="5" xfId="0" applyFont="1" applyFill="1" applyBorder="1" applyAlignment="1">
      <alignment horizontal="center" vertical="center"/>
    </xf>
    <xf numFmtId="0" fontId="29" fillId="7" borderId="5" xfId="0" applyFont="1" applyFill="1" applyBorder="1"/>
    <xf numFmtId="44" fontId="17" fillId="0" borderId="5" xfId="8" applyFont="1" applyBorder="1" applyAlignment="1" applyProtection="1">
      <alignment horizontal="center" vertical="center"/>
      <protection locked="0"/>
    </xf>
    <xf numFmtId="170" fontId="17" fillId="0" borderId="5" xfId="1" applyNumberFormat="1" applyFont="1" applyBorder="1" applyAlignment="1">
      <alignment horizontal="center"/>
    </xf>
    <xf numFmtId="14" fontId="17" fillId="0" borderId="5" xfId="1" applyNumberFormat="1" applyFont="1" applyBorder="1" applyAlignment="1">
      <alignment horizontal="center"/>
    </xf>
    <xf numFmtId="0" fontId="17" fillId="13" borderId="5" xfId="1" applyFont="1" applyFill="1" applyBorder="1"/>
    <xf numFmtId="0" fontId="17" fillId="8" borderId="5" xfId="1" applyFont="1" applyFill="1" applyBorder="1" applyProtection="1">
      <protection locked="0"/>
    </xf>
    <xf numFmtId="0" fontId="17" fillId="14" borderId="5" xfId="1" applyFont="1" applyFill="1" applyBorder="1"/>
    <xf numFmtId="0" fontId="17" fillId="14" borderId="5" xfId="1" applyFont="1" applyFill="1" applyBorder="1" applyProtection="1">
      <protection locked="0"/>
    </xf>
    <xf numFmtId="0" fontId="17" fillId="14" borderId="16" xfId="1" applyFont="1" applyFill="1" applyBorder="1" applyProtection="1">
      <protection locked="0"/>
    </xf>
    <xf numFmtId="0" fontId="29" fillId="14" borderId="5" xfId="0" applyFont="1" applyFill="1" applyBorder="1"/>
    <xf numFmtId="0" fontId="17" fillId="7" borderId="20" xfId="0" applyFont="1" applyFill="1" applyBorder="1" applyProtection="1">
      <protection locked="0"/>
    </xf>
    <xf numFmtId="0" fontId="17" fillId="7" borderId="3" xfId="0" applyFont="1" applyFill="1" applyBorder="1" applyAlignment="1" applyProtection="1">
      <alignment horizontal="center" vertical="center"/>
      <protection locked="0"/>
    </xf>
    <xf numFmtId="0" fontId="17" fillId="7" borderId="22" xfId="1" applyFont="1" applyFill="1" applyBorder="1" applyAlignment="1">
      <alignment horizontal="center"/>
    </xf>
    <xf numFmtId="0" fontId="17" fillId="11" borderId="5" xfId="1" applyFont="1" applyFill="1" applyBorder="1"/>
    <xf numFmtId="0" fontId="17" fillId="11" borderId="5" xfId="1" applyFont="1" applyFill="1" applyBorder="1" applyProtection="1">
      <protection locked="0"/>
    </xf>
    <xf numFmtId="0" fontId="17" fillId="11" borderId="5" xfId="0" applyFont="1" applyFill="1" applyBorder="1"/>
    <xf numFmtId="0" fontId="17" fillId="7" borderId="5" xfId="0" applyFont="1" applyFill="1" applyBorder="1" applyAlignment="1" applyProtection="1">
      <alignment horizontal="center" vertical="center"/>
      <protection locked="0"/>
    </xf>
    <xf numFmtId="0" fontId="17" fillId="7" borderId="5" xfId="7" applyNumberFormat="1" applyFont="1" applyFill="1" applyBorder="1" applyAlignment="1">
      <alignment horizontal="center" vertical="center"/>
    </xf>
    <xf numFmtId="0" fontId="17" fillId="7" borderId="5" xfId="1" applyFont="1" applyFill="1" applyBorder="1" applyAlignment="1">
      <alignment wrapText="1"/>
    </xf>
    <xf numFmtId="0" fontId="17" fillId="7" borderId="5" xfId="0" applyFont="1" applyFill="1" applyBorder="1" applyProtection="1">
      <protection locked="0"/>
    </xf>
    <xf numFmtId="0" fontId="17" fillId="15" borderId="23" xfId="1" applyFont="1" applyFill="1" applyBorder="1"/>
    <xf numFmtId="0" fontId="21" fillId="15" borderId="1" xfId="1" applyFont="1" applyFill="1" applyBorder="1"/>
    <xf numFmtId="1" fontId="0" fillId="15" borderId="1" xfId="4" applyNumberFormat="1" applyFont="1" applyFill="1" applyBorder="1" applyAlignment="1">
      <alignment horizontal="center" vertical="center"/>
    </xf>
    <xf numFmtId="44" fontId="0" fillId="15" borderId="1" xfId="8" applyFont="1" applyFill="1" applyBorder="1" applyAlignment="1">
      <alignment horizontal="center" vertical="center"/>
    </xf>
    <xf numFmtId="44" fontId="21" fillId="15" borderId="1" xfId="8" applyFont="1" applyFill="1" applyBorder="1" applyAlignment="1">
      <alignment horizontal="center" vertical="center"/>
    </xf>
    <xf numFmtId="168" fontId="33" fillId="15" borderId="1" xfId="1" applyNumberFormat="1" applyFont="1" applyFill="1" applyBorder="1" applyAlignment="1">
      <alignment horizontal="center" vertical="center"/>
    </xf>
    <xf numFmtId="14" fontId="33" fillId="15" borderId="1" xfId="1" applyNumberFormat="1" applyFont="1" applyFill="1" applyBorder="1" applyAlignment="1">
      <alignment horizontal="center" vertical="center"/>
    </xf>
    <xf numFmtId="169" fontId="33" fillId="15" borderId="1" xfId="1" applyNumberFormat="1" applyFont="1" applyFill="1" applyBorder="1" applyAlignment="1">
      <alignment horizontal="center" vertical="center"/>
    </xf>
    <xf numFmtId="0" fontId="35" fillId="7" borderId="21" xfId="1" applyFont="1" applyFill="1" applyBorder="1" applyAlignment="1">
      <alignment horizontal="center"/>
    </xf>
    <xf numFmtId="0" fontId="17" fillId="13" borderId="5" xfId="1" applyFont="1" applyFill="1" applyBorder="1" applyProtection="1">
      <protection locked="0"/>
    </xf>
    <xf numFmtId="0" fontId="17" fillId="0" borderId="0" xfId="1" applyFont="1" applyAlignment="1" applyProtection="1">
      <alignment horizontal="center"/>
      <protection locked="0"/>
    </xf>
    <xf numFmtId="0" fontId="20" fillId="7" borderId="0" xfId="1" applyFont="1" applyFill="1" applyAlignment="1">
      <alignment horizontal="center" vertical="center"/>
    </xf>
    <xf numFmtId="0" fontId="3" fillId="0" borderId="0" xfId="1" applyFont="1" applyAlignment="1">
      <alignment horizontal="center"/>
    </xf>
    <xf numFmtId="0" fontId="22" fillId="9" borderId="3" xfId="1" applyFont="1" applyFill="1" applyBorder="1"/>
    <xf numFmtId="0" fontId="1" fillId="9" borderId="3" xfId="0" applyFont="1" applyFill="1" applyBorder="1"/>
    <xf numFmtId="0" fontId="32" fillId="9" borderId="3" xfId="0" applyFont="1" applyFill="1" applyBorder="1"/>
    <xf numFmtId="0" fontId="25" fillId="7" borderId="0" xfId="1" applyFont="1" applyFill="1" applyAlignment="1">
      <alignment horizontal="center" vertical="center"/>
    </xf>
    <xf numFmtId="0" fontId="28" fillId="0" borderId="5" xfId="2" applyFont="1" applyBorder="1" applyAlignment="1">
      <alignment vertical="center"/>
    </xf>
    <xf numFmtId="0" fontId="17" fillId="0" borderId="0" xfId="1" applyFont="1" applyAlignment="1">
      <alignment horizontal="center"/>
    </xf>
    <xf numFmtId="0" fontId="17" fillId="7" borderId="5" xfId="1" applyNumberFormat="1" applyFont="1" applyFill="1" applyBorder="1" applyAlignment="1" applyProtection="1">
      <alignment horizontal="center"/>
      <protection locked="0"/>
    </xf>
    <xf numFmtId="14" fontId="17" fillId="7" borderId="0" xfId="1" applyNumberFormat="1" applyFont="1" applyFill="1" applyBorder="1" applyAlignment="1" applyProtection="1">
      <alignment horizontal="center"/>
      <protection locked="0"/>
    </xf>
    <xf numFmtId="9" fontId="17" fillId="0" borderId="3" xfId="7" applyFont="1" applyFill="1" applyBorder="1" applyAlignment="1" applyProtection="1">
      <alignment horizontal="center" vertical="center"/>
      <protection locked="0"/>
    </xf>
    <xf numFmtId="0" fontId="17" fillId="7" borderId="3" xfId="1" applyNumberFormat="1" applyFont="1" applyFill="1" applyBorder="1" applyAlignment="1" applyProtection="1">
      <alignment horizontal="center"/>
      <protection locked="0"/>
    </xf>
    <xf numFmtId="0" fontId="17" fillId="7" borderId="5" xfId="1" applyNumberFormat="1" applyFont="1" applyFill="1" applyBorder="1" applyAlignment="1"/>
    <xf numFmtId="44" fontId="17" fillId="7" borderId="5" xfId="8" applyNumberFormat="1" applyFont="1" applyFill="1" applyBorder="1" applyAlignment="1">
      <alignment horizontal="center" vertical="center"/>
    </xf>
    <xf numFmtId="0" fontId="17" fillId="7" borderId="5" xfId="1" applyNumberFormat="1" applyFont="1" applyFill="1" applyBorder="1" applyAlignment="1">
      <alignment horizontal="center"/>
    </xf>
    <xf numFmtId="14" fontId="17" fillId="7" borderId="24" xfId="1" applyNumberFormat="1" applyFont="1" applyFill="1" applyBorder="1" applyAlignment="1">
      <alignment horizontal="center"/>
    </xf>
    <xf numFmtId="0" fontId="17" fillId="7" borderId="24" xfId="1" applyNumberFormat="1" applyFont="1" applyFill="1" applyBorder="1" applyAlignment="1">
      <alignment horizontal="center"/>
    </xf>
    <xf numFmtId="44" fontId="17" fillId="7" borderId="24" xfId="8" applyNumberFormat="1" applyFont="1" applyFill="1" applyBorder="1" applyAlignment="1">
      <alignment horizontal="center"/>
    </xf>
    <xf numFmtId="0" fontId="17" fillId="7" borderId="5" xfId="1" applyNumberFormat="1" applyFont="1" applyFill="1" applyBorder="1" applyAlignment="1">
      <alignment horizontal="center" vertical="center"/>
    </xf>
    <xf numFmtId="0" fontId="17" fillId="13" borderId="5" xfId="0" applyFont="1" applyFill="1" applyBorder="1"/>
    <xf numFmtId="0" fontId="17" fillId="5" borderId="5" xfId="1" applyFont="1" applyFill="1" applyBorder="1"/>
    <xf numFmtId="9" fontId="17" fillId="7" borderId="5" xfId="7" applyNumberFormat="1" applyFont="1" applyFill="1" applyBorder="1" applyAlignment="1">
      <alignment horizontal="center" vertical="center"/>
    </xf>
  </cellXfs>
  <cellStyles count="9">
    <cellStyle name="Comma 2" xfId="4" xr:uid="{B31E6E3D-EF9A-4AB3-8DDD-937BC8748F34}"/>
    <cellStyle name="Currency" xfId="8" builtinId="4"/>
    <cellStyle name="Currency 2" xfId="3" xr:uid="{F77EBA1E-4A8C-451A-B654-229656B45033}"/>
    <cellStyle name="Normal" xfId="0" builtinId="0"/>
    <cellStyle name="Normal 2" xfId="1" xr:uid="{3AB15196-CD7F-41B9-AE2F-8F7CBEEA1DF1}"/>
    <cellStyle name="Normal 2 2" xfId="2" xr:uid="{619F694C-45A6-4B67-8F16-EE7AFD13B957}"/>
    <cellStyle name="Normal 3" xfId="6" xr:uid="{B9D750DD-C735-4153-9A43-581B7ED51A07}"/>
    <cellStyle name="Percent" xfId="7" builtinId="5"/>
    <cellStyle name="Percent 2" xfId="5" xr:uid="{F27AB2F1-BEBE-453F-8D1B-0F8EB4692D18}"/>
  </cellStyles>
  <dxfs count="71">
    <dxf>
      <font>
        <color theme="6" tint="-0.24994659260841701"/>
      </font>
    </dxf>
    <dxf>
      <font>
        <b/>
        <i val="0"/>
      </font>
      <fill>
        <patternFill>
          <bgColor theme="0" tint="-0.14996795556505021"/>
        </patternFill>
      </fill>
    </dxf>
    <dxf>
      <fill>
        <patternFill>
          <bgColor theme="0" tint="-0.14996795556505021"/>
        </patternFill>
      </fill>
    </dxf>
    <dxf>
      <fill>
        <patternFill>
          <bgColor theme="5"/>
        </patternFill>
      </fill>
    </dxf>
    <dxf>
      <fill>
        <patternFill>
          <bgColor rgb="FF00B050"/>
        </patternFill>
      </fill>
    </dxf>
    <dxf>
      <fill>
        <patternFill>
          <bgColor rgb="FFFF0000"/>
        </patternFill>
      </fill>
    </dxf>
    <dxf>
      <fill>
        <patternFill>
          <bgColor rgb="FFFFFF00"/>
        </patternFill>
      </fill>
    </dxf>
    <dxf>
      <fill>
        <patternFill>
          <bgColor theme="1" tint="0.499984740745262"/>
        </patternFill>
      </fill>
    </dxf>
    <dxf>
      <font>
        <color theme="6" tint="-0.24994659260841701"/>
      </font>
    </dxf>
    <dxf>
      <font>
        <b/>
        <i val="0"/>
      </font>
      <fill>
        <patternFill>
          <bgColor theme="0" tint="-0.14996795556505021"/>
        </patternFill>
      </fill>
    </dxf>
    <dxf>
      <fill>
        <patternFill>
          <bgColor theme="0" tint="-0.14996795556505021"/>
        </patternFill>
      </fill>
    </dxf>
    <dxf>
      <fill>
        <patternFill>
          <bgColor theme="5"/>
        </patternFill>
      </fill>
    </dxf>
    <dxf>
      <fill>
        <patternFill>
          <bgColor rgb="FF00B050"/>
        </patternFill>
      </fill>
    </dxf>
    <dxf>
      <fill>
        <patternFill>
          <bgColor rgb="FFFF0000"/>
        </patternFill>
      </fill>
    </dxf>
    <dxf>
      <fill>
        <patternFill>
          <bgColor rgb="FFFFFF00"/>
        </patternFill>
      </fill>
    </dxf>
    <dxf>
      <fill>
        <patternFill>
          <bgColor theme="1" tint="0.499984740745262"/>
        </patternFill>
      </fill>
    </dxf>
    <dxf>
      <font>
        <color theme="6" tint="-0.24994659260841701"/>
      </font>
    </dxf>
    <dxf>
      <font>
        <b/>
        <i val="0"/>
      </font>
      <fill>
        <patternFill>
          <bgColor theme="0" tint="-0.14996795556505021"/>
        </patternFill>
      </fill>
    </dxf>
    <dxf>
      <fill>
        <patternFill>
          <bgColor theme="0" tint="-0.14996795556505021"/>
        </patternFill>
      </fill>
    </dxf>
    <dxf>
      <fill>
        <patternFill>
          <bgColor theme="5"/>
        </patternFill>
      </fill>
    </dxf>
    <dxf>
      <fill>
        <patternFill>
          <bgColor rgb="FF00B050"/>
        </patternFill>
      </fill>
    </dxf>
    <dxf>
      <fill>
        <patternFill>
          <bgColor rgb="FFFF0000"/>
        </patternFill>
      </fill>
    </dxf>
    <dxf>
      <fill>
        <patternFill>
          <bgColor rgb="FFFFFF00"/>
        </patternFill>
      </fill>
    </dxf>
    <dxf>
      <fill>
        <patternFill>
          <bgColor theme="1" tint="0.499984740745262"/>
        </patternFill>
      </fill>
    </dxf>
    <dxf>
      <font>
        <b/>
        <i val="0"/>
      </font>
      <fill>
        <patternFill>
          <bgColor rgb="FFFF0000"/>
        </patternFill>
      </fill>
    </dxf>
    <dxf>
      <font>
        <color theme="6" tint="-0.24994659260841701"/>
      </font>
    </dxf>
    <dxf>
      <font>
        <b/>
        <i val="0"/>
      </font>
      <fill>
        <patternFill>
          <bgColor theme="0" tint="-0.14996795556505021"/>
        </patternFill>
      </fill>
    </dxf>
    <dxf>
      <fill>
        <patternFill>
          <bgColor theme="0" tint="-0.14996795556505021"/>
        </patternFill>
      </fill>
    </dxf>
    <dxf>
      <fill>
        <patternFill>
          <bgColor theme="5"/>
        </patternFill>
      </fill>
    </dxf>
    <dxf>
      <fill>
        <patternFill>
          <bgColor rgb="FF00B050"/>
        </patternFill>
      </fill>
    </dxf>
    <dxf>
      <fill>
        <patternFill>
          <bgColor rgb="FFFF0000"/>
        </patternFill>
      </fill>
    </dxf>
    <dxf>
      <fill>
        <patternFill>
          <bgColor rgb="FFFFFF00"/>
        </patternFill>
      </fill>
    </dxf>
    <dxf>
      <fill>
        <patternFill>
          <bgColor theme="1" tint="0.499984740745262"/>
        </patternFill>
      </fill>
    </dxf>
    <dxf>
      <font>
        <b/>
        <i val="0"/>
      </font>
      <fill>
        <patternFill>
          <bgColor rgb="FFFF0000"/>
        </patternFill>
      </fill>
    </dxf>
    <dxf>
      <font>
        <b val="0"/>
        <i/>
        <strike val="0"/>
        <condense val="0"/>
        <extend val="0"/>
        <outline val="0"/>
        <shadow val="0"/>
        <u val="none"/>
        <vertAlign val="baseline"/>
        <sz val="10"/>
        <color auto="1"/>
        <name val="Calibri"/>
        <family val="2"/>
        <scheme val="minor"/>
      </font>
      <fill>
        <patternFill>
          <fgColor indexed="64"/>
          <bgColor theme="0"/>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strike val="0"/>
        <condense val="0"/>
        <extend val="0"/>
        <outline val="0"/>
        <shadow val="0"/>
        <u val="none"/>
        <vertAlign val="baseline"/>
        <sz val="10"/>
        <color auto="1"/>
        <name val="Calibri"/>
        <family val="2"/>
        <scheme val="minor"/>
      </font>
      <fill>
        <patternFill>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fill>
        <patternFill>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Calibri"/>
        <scheme val="minor"/>
      </font>
      <alignment horizontal="center" vertical="bottom" textRotation="0" wrapText="0" indent="0" justifyLastLine="0" shrinkToFit="0" readingOrder="0"/>
    </dxf>
    <dxf>
      <font>
        <b val="0"/>
        <i/>
        <strike val="0"/>
        <condense val="0"/>
        <extend val="0"/>
        <outline val="0"/>
        <shadow val="0"/>
        <u val="none"/>
        <vertAlign val="baseline"/>
        <sz val="10"/>
        <color auto="1"/>
        <name val="Calibri"/>
        <family val="2"/>
        <scheme val="minor"/>
      </font>
      <fill>
        <patternFill>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alignment horizontal="center" vertical="bottom" textRotation="0" wrapText="0" indent="0" justifyLastLine="0" shrinkToFit="0" readingOrder="0"/>
    </dxf>
    <dxf>
      <font>
        <b val="0"/>
        <i/>
        <strike val="0"/>
        <condense val="0"/>
        <extend val="0"/>
        <outline val="0"/>
        <shadow val="0"/>
        <u val="none"/>
        <vertAlign val="baseline"/>
        <sz val="10"/>
        <color auto="1"/>
        <name val="Calibri"/>
        <family val="2"/>
        <scheme val="minor"/>
      </font>
      <numFmt numFmtId="19" formatCode="dd/mm/yyyy"/>
      <fill>
        <patternFill>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Calibri"/>
        <scheme val="minor"/>
      </font>
      <alignment horizontal="center" vertical="bottom" textRotation="0" wrapText="0" indent="0" justifyLastLine="0" shrinkToFit="0" readingOrder="0"/>
    </dxf>
    <dxf>
      <font>
        <b val="0"/>
        <i/>
        <strike val="0"/>
        <condense val="0"/>
        <extend val="0"/>
        <outline val="0"/>
        <shadow val="0"/>
        <u val="none"/>
        <vertAlign val="baseline"/>
        <sz val="10"/>
        <color auto="1"/>
        <name val="Calibri"/>
        <family val="2"/>
        <scheme val="minor"/>
      </font>
      <numFmt numFmtId="19" formatCode="dd/mm/yyyy"/>
      <fill>
        <patternFill>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Calibri"/>
        <scheme val="minor"/>
      </font>
      <alignment horizontal="center" vertical="bottom" textRotation="0" wrapText="0" indent="0" justifyLastLine="0" shrinkToFit="0" readingOrder="0"/>
    </dxf>
    <dxf>
      <font>
        <b val="0"/>
        <i/>
        <strike val="0"/>
        <condense val="0"/>
        <extend val="0"/>
        <outline val="0"/>
        <shadow val="0"/>
        <u val="none"/>
        <vertAlign val="baseline"/>
        <sz val="10"/>
        <color auto="1"/>
        <name val="Calibri"/>
        <family val="2"/>
        <scheme val="minor"/>
      </font>
      <numFmt numFmtId="0" formatCode="General"/>
      <fill>
        <patternFill>
          <fgColor indexed="64"/>
          <bgColor theme="0"/>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Calibri"/>
        <scheme val="minor"/>
      </font>
      <border diagonalUp="0" diagonalDown="0" outline="0">
        <left/>
        <right/>
        <top/>
        <bottom/>
      </border>
    </dxf>
    <dxf>
      <font>
        <b val="0"/>
        <i/>
        <strike val="0"/>
        <condense val="0"/>
        <extend val="0"/>
        <outline val="0"/>
        <shadow val="0"/>
        <u val="none"/>
        <vertAlign val="baseline"/>
        <sz val="10"/>
        <color auto="1"/>
        <name val="Calibri"/>
        <family val="2"/>
        <scheme val="minor"/>
      </font>
      <numFmt numFmtId="19" formatCode="dd/mm/yyyy"/>
      <fill>
        <patternFill patternType="none">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Calibri"/>
        <scheme val="minor"/>
      </font>
      <numFmt numFmtId="172" formatCode="m/d/yy;@"/>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0" hidden="0"/>
    </dxf>
    <dxf>
      <font>
        <b val="0"/>
        <i/>
        <strike val="0"/>
        <condense val="0"/>
        <extend val="0"/>
        <outline val="0"/>
        <shadow val="0"/>
        <u val="none"/>
        <vertAlign val="baseline"/>
        <sz val="10"/>
        <color auto="1"/>
        <name val="Calibri"/>
        <family val="2"/>
        <scheme val="minor"/>
      </font>
      <numFmt numFmtId="19" formatCode="dd/mm/yyyy"/>
      <fill>
        <patternFill>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Calibri"/>
        <scheme val="minor"/>
      </font>
      <numFmt numFmtId="172" formatCode="m/d/yy;@"/>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0" hidden="0"/>
    </dxf>
    <dxf>
      <font>
        <b val="0"/>
        <i/>
        <strike val="0"/>
        <condense val="0"/>
        <extend val="0"/>
        <outline val="0"/>
        <shadow val="0"/>
        <u val="none"/>
        <vertAlign val="baseline"/>
        <sz val="10"/>
        <color auto="1"/>
        <name val="Calibri"/>
        <family val="2"/>
        <scheme val="minor"/>
      </font>
      <fill>
        <patternFill patternType="none">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Calibri"/>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0" hidden="0"/>
    </dxf>
    <dxf>
      <font>
        <b val="0"/>
        <i/>
        <strike val="0"/>
        <condense val="0"/>
        <extend val="0"/>
        <outline val="0"/>
        <shadow val="0"/>
        <u val="none"/>
        <vertAlign val="baseline"/>
        <sz val="10"/>
        <color auto="1"/>
        <name val="Calibri"/>
        <family val="2"/>
        <scheme val="minor"/>
      </font>
      <numFmt numFmtId="170" formatCode="_-[$£-809]* #,##0.00_-;\-[$£-809]* #,##0.00_-;_-[$£-809]* &quot;-&quot;??_-;_-@_-"/>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auto="1"/>
        <name val="Calibri"/>
        <scheme val="minor"/>
      </font>
      <numFmt numFmtId="173" formatCode="&quot;$&quot;#,##0.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0" hidden="0"/>
    </dxf>
    <dxf>
      <font>
        <b val="0"/>
        <i/>
        <strike val="0"/>
        <condense val="0"/>
        <extend val="0"/>
        <outline val="0"/>
        <shadow val="0"/>
        <u val="none"/>
        <vertAlign val="baseline"/>
        <sz val="10"/>
        <color auto="1"/>
        <name val="Calibri"/>
        <family val="2"/>
        <scheme val="minor"/>
      </font>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Calibri"/>
        <scheme val="minor"/>
      </font>
      <numFmt numFmtId="173" formatCode="&quot;$&quot;#,##0.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0" hidden="0"/>
    </dxf>
    <dxf>
      <font>
        <b val="0"/>
        <i/>
        <strike val="0"/>
        <condense val="0"/>
        <extend val="0"/>
        <outline val="0"/>
        <shadow val="0"/>
        <u val="none"/>
        <vertAlign val="baseline"/>
        <sz val="10"/>
        <color auto="1"/>
        <name val="Calibri"/>
        <family val="2"/>
        <scheme val="minor"/>
      </font>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Calibri"/>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0" hidden="0"/>
    </dxf>
    <dxf>
      <font>
        <b val="0"/>
        <i/>
        <strike val="0"/>
        <condense val="0"/>
        <extend val="0"/>
        <outline val="0"/>
        <shadow val="0"/>
        <u val="none"/>
        <vertAlign val="baseline"/>
        <sz val="10"/>
        <color auto="1"/>
        <name val="Calibri"/>
        <family val="2"/>
        <scheme val="minor"/>
      </font>
      <fill>
        <patternFill>
          <fgColor indexed="64"/>
          <bgColor theme="0"/>
        </patternFill>
      </fill>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Calibri"/>
        <scheme val="minor"/>
      </font>
      <fill>
        <patternFill patternType="none">
          <fgColor indexed="64"/>
          <bgColor indexed="65"/>
        </patternFill>
      </fill>
      <border diagonalUp="0" diagonalDown="0" outline="0">
        <left/>
        <right/>
        <top/>
        <bottom/>
      </border>
      <protection locked="0" hidden="0"/>
    </dxf>
    <dxf>
      <font>
        <b val="0"/>
        <i/>
        <strike val="0"/>
        <condense val="0"/>
        <extend val="0"/>
        <outline val="0"/>
        <shadow val="0"/>
        <u val="none"/>
        <vertAlign val="baseline"/>
        <sz val="10"/>
        <color auto="1"/>
        <name val="Calibri"/>
        <family val="2"/>
        <scheme val="minor"/>
      </font>
      <fill>
        <patternFill>
          <fgColor indexed="64"/>
          <bgColor theme="0"/>
        </patternFill>
      </fill>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Calibri"/>
        <scheme val="minor"/>
      </font>
      <fill>
        <patternFill patternType="none">
          <fgColor indexed="64"/>
          <bgColor indexed="65"/>
        </patternFill>
      </fill>
      <border diagonalUp="0" diagonalDown="0" outline="0">
        <left/>
        <right/>
        <top/>
        <bottom/>
      </border>
      <protection locked="0" hidden="0"/>
    </dxf>
    <dxf>
      <font>
        <b val="0"/>
        <i/>
        <strike val="0"/>
        <condense val="0"/>
        <extend val="0"/>
        <outline val="0"/>
        <shadow val="0"/>
        <u val="none"/>
        <vertAlign val="baseline"/>
        <sz val="10"/>
        <color auto="1"/>
        <name val="Calibri"/>
        <family val="2"/>
        <scheme val="minor"/>
      </font>
      <fill>
        <patternFill>
          <fgColor indexed="64"/>
          <bgColor theme="0"/>
        </patternFill>
      </fill>
      <border diagonalUp="0" diagonalDown="0" outline="0">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Calibri"/>
        <scheme val="minor"/>
      </font>
      <fill>
        <patternFill patternType="none">
          <fgColor indexed="64"/>
          <bgColor indexed="65"/>
        </patternFill>
      </fill>
      <border diagonalUp="0" diagonalDown="0" outline="0">
        <left/>
        <right/>
        <top/>
        <bottom/>
      </border>
      <protection locked="0" hidden="0"/>
    </dxf>
    <dxf>
      <border>
        <top style="thin">
          <color indexed="64"/>
        </top>
      </border>
    </dxf>
    <dxf>
      <border diagonalUp="0" diagonalDown="0">
        <left style="thin">
          <color indexed="64"/>
        </left>
        <right style="thin">
          <color indexed="64"/>
        </right>
        <top style="thin">
          <color indexed="64"/>
        </top>
        <bottom style="thin">
          <color indexed="64"/>
        </bottom>
      </border>
    </dxf>
    <dxf>
      <font>
        <b val="0"/>
        <i/>
        <strike val="0"/>
        <condense val="0"/>
        <extend val="0"/>
        <outline val="0"/>
        <shadow val="0"/>
        <u val="none"/>
        <vertAlign val="baseline"/>
        <sz val="10"/>
        <color auto="1"/>
        <name val="Calibri"/>
        <family val="2"/>
        <scheme val="minor"/>
      </font>
      <fill>
        <patternFill>
          <fgColor indexed="64"/>
          <bgColor theme="0"/>
        </patternFill>
      </fill>
      <alignment horizontal="center" vertical="bottom" textRotation="0" wrapText="0" indent="0" justifyLastLine="0" shrinkToFit="0" readingOrder="0"/>
    </dxf>
    <dxf>
      <font>
        <b val="0"/>
        <i/>
        <strike val="0"/>
        <condense val="0"/>
        <extend val="0"/>
        <outline val="0"/>
        <shadow val="0"/>
        <u val="none"/>
        <vertAlign val="baseline"/>
        <sz val="10"/>
        <color auto="1"/>
        <name val="Calibri"/>
        <family val="2"/>
        <scheme val="minor"/>
      </font>
      <fill>
        <patternFill>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bottom/>
      </border>
    </dxf>
    <dxf>
      <fill>
        <patternFill>
          <bgColor theme="9" tint="0.79998168889431442"/>
        </patternFill>
      </fill>
      <border>
        <left style="thin">
          <color theme="0"/>
        </left>
        <right style="thin">
          <color theme="0"/>
        </right>
        <top style="thin">
          <color theme="0"/>
        </top>
        <bottom style="thin">
          <color theme="0"/>
        </bottom>
        <vertical style="thin">
          <color theme="0"/>
        </vertical>
        <horizontal style="thin">
          <color theme="0"/>
        </horizontal>
      </border>
    </dxf>
    <dxf>
      <fill>
        <patternFill>
          <bgColor theme="9" tint="0.59996337778862885"/>
        </patternFill>
      </fill>
      <border>
        <left style="thin">
          <color theme="0"/>
        </left>
        <right style="thin">
          <color theme="0"/>
        </right>
        <top style="thin">
          <color theme="0"/>
        </top>
        <bottom style="thin">
          <color theme="0"/>
        </bottom>
        <vertical style="thin">
          <color theme="0"/>
        </vertical>
        <horizontal style="thin">
          <color theme="0"/>
        </horizontal>
      </border>
    </dxf>
    <dxf>
      <fill>
        <patternFill>
          <bgColor theme="9" tint="-0.24994659260841701"/>
        </patternFill>
      </fill>
    </dxf>
  </dxfs>
  <tableStyles count="1" defaultTableStyle="TableStyleMedium2" defaultPivotStyle="PivotStyleLight16">
    <tableStyle name="Orange" pivot="0" count="3" xr9:uid="{1107F6D6-6991-4CD1-83D2-355454757CAC}">
      <tableStyleElement type="headerRow" dxfId="70"/>
      <tableStyleElement type="firstRowStripe" dxfId="69"/>
      <tableStyleElement type="secondRowStripe" dxfId="6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753345</xdr:colOff>
      <xdr:row>0</xdr:row>
      <xdr:rowOff>117330</xdr:rowOff>
    </xdr:from>
    <xdr:to>
      <xdr:col>2</xdr:col>
      <xdr:colOff>1310697</xdr:colOff>
      <xdr:row>2</xdr:row>
      <xdr:rowOff>166702</xdr:rowOff>
    </xdr:to>
    <xdr:pic>
      <xdr:nvPicPr>
        <xdr:cNvPr id="2" name="Picture 1">
          <a:extLst>
            <a:ext uri="{FF2B5EF4-FFF2-40B4-BE49-F238E27FC236}">
              <a16:creationId xmlns:a16="http://schemas.microsoft.com/office/drawing/2014/main" id="{BE9FF59A-CB59-4CD5-837B-B5AF7D9132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186300" y="117330"/>
          <a:ext cx="554177" cy="7201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1567299</xdr:colOff>
      <xdr:row>0</xdr:row>
      <xdr:rowOff>359783</xdr:rowOff>
    </xdr:from>
    <xdr:to>
      <xdr:col>3</xdr:col>
      <xdr:colOff>55131</xdr:colOff>
      <xdr:row>5</xdr:row>
      <xdr:rowOff>92697</xdr:rowOff>
    </xdr:to>
    <xdr:pic>
      <xdr:nvPicPr>
        <xdr:cNvPr id="2" name="Picture 1">
          <a:extLst>
            <a:ext uri="{FF2B5EF4-FFF2-40B4-BE49-F238E27FC236}">
              <a16:creationId xmlns:a16="http://schemas.microsoft.com/office/drawing/2014/main" id="{0935155F-D6D2-466D-9131-F13A29C07F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000254" y="359783"/>
          <a:ext cx="753337" cy="97895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B02467-F060-4D04-B73C-FA0246DD92BF}" name="Prospects5" displayName="Prospects5" ref="C19:Q146" headerRowCount="0" totalsRowShown="0" headerRowDxfId="67" dataDxfId="66" tableBorderDxfId="65" totalsRowBorderDxfId="64">
  <tableColumns count="15">
    <tableColumn id="1" xr3:uid="{C42C0744-4FD7-406D-AF2B-7BBD52E7FCBF}" name="Column1" headerRowDxfId="63" dataDxfId="62"/>
    <tableColumn id="2" xr3:uid="{0AA22669-A3B5-4687-BDA9-1D8F14FAA26D}" name="Column2" headerRowDxfId="61" dataDxfId="60"/>
    <tableColumn id="3" xr3:uid="{E4828551-7D66-4E8B-A706-DFFCFC088463}" name="Column3" headerRowDxfId="59" dataDxfId="58"/>
    <tableColumn id="4" xr3:uid="{35A669C2-80A7-4BD7-BB09-46B79CF34620}" name="Column4" headerRowDxfId="57" dataDxfId="56"/>
    <tableColumn id="5" xr3:uid="{75284BED-F95B-4650-9827-9479CD725DDF}" name="Column5" headerRowDxfId="55" dataDxfId="54" dataCellStyle="Currency">
      <calculatedColumnFormula>SUM('Warm 250'!F11*'Warm 250'!H11)</calculatedColumnFormula>
    </tableColumn>
    <tableColumn id="6" xr3:uid="{DB0541A7-F529-4977-9F5E-C76EF2A8398D}" name="Column6" headerRowDxfId="53" dataDxfId="52">
      <calculatedColumnFormula>IFERROR(Prospects5[[#This Row],[Column5]]/Prospects5[[#This Row],[Column4]],"--")</calculatedColumnFormula>
    </tableColumn>
    <tableColumn id="7" xr3:uid="{47A2E44D-994C-4071-9F84-99EDF121442F}" name="Column7" headerRowDxfId="51" dataDxfId="50"/>
    <tableColumn id="8" xr3:uid="{230D3F98-23E0-45D0-B66F-7416556AEC6E}" name="Column8" headerRowDxfId="49" dataDxfId="48" dataCellStyle="Normal 2"/>
    <tableColumn id="9" xr3:uid="{EC5571AC-7C30-4650-AAC2-3B8C391FC88B}" name="Column9" headerRowDxfId="47" dataDxfId="46" dataCellStyle="Normal 2"/>
    <tableColumn id="10" xr3:uid="{9F8327F4-D98E-4113-9082-E150018088F4}" name="Column10" headerRowDxfId="45" dataDxfId="44"/>
    <tableColumn id="11" xr3:uid="{7D68C574-CB51-4A6A-B24F-6999FC65779A}" name="Column11" headerRowDxfId="43" dataDxfId="42" dataCellStyle="Normal 2"/>
    <tableColumn id="12" xr3:uid="{96761199-4B1D-4EE1-A922-D0F5E35F7C43}" name="Column12" headerRowDxfId="41" dataDxfId="40" dataCellStyle="Normal 2"/>
    <tableColumn id="13" xr3:uid="{8D5E925B-A1B6-4D69-ABFB-91F37206AF19}" name="Column13" headerRowDxfId="39" dataDxfId="38" dataCellStyle="Currency">
      <calculatedColumnFormula>SUM(Prospects5[[#This Row],[Column5]]*12)</calculatedColumnFormula>
    </tableColumn>
    <tableColumn id="14" xr3:uid="{D4876A67-A618-493C-83FB-E4ED7F9DEFD1}" name="Column14" headerRowDxfId="37" dataDxfId="36"/>
    <tableColumn id="15" xr3:uid="{487891F4-0CA7-4D64-BE37-C9D2D8583AFE}" name="Column15" headerRowDxfId="35" dataDxfId="34"/>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BB2D0-14ED-486E-9D12-14735FC050C1}">
  <sheetPr>
    <tabColor rgb="FFFF0000"/>
    <pageSetUpPr fitToPage="1"/>
  </sheetPr>
  <dimension ref="A1:AA171"/>
  <sheetViews>
    <sheetView showGridLines="0" tabSelected="1" topLeftCell="C7" zoomScale="130" zoomScaleNormal="130" workbookViewId="0">
      <selection activeCell="I19" sqref="I19"/>
    </sheetView>
  </sheetViews>
  <sheetFormatPr defaultColWidth="8.5703125" defaultRowHeight="15" customHeight="1"/>
  <cols>
    <col min="1" max="1" width="6.42578125" style="11" customWidth="1"/>
    <col min="2" max="2" width="15.28515625" style="11" bestFit="1" customWidth="1"/>
    <col min="3" max="3" width="44" style="30" bestFit="1" customWidth="1"/>
    <col min="4" max="4" width="17.42578125" style="30" customWidth="1"/>
    <col min="5" max="5" width="29.42578125" style="30" customWidth="1"/>
    <col min="6" max="6" width="14.140625" style="30" customWidth="1"/>
    <col min="7" max="7" width="17.5703125" style="178" customWidth="1"/>
    <col min="8" max="8" width="12" style="30" bestFit="1" customWidth="1"/>
    <col min="9" max="9" width="14.42578125" style="30" bestFit="1" customWidth="1"/>
    <col min="10" max="10" width="22.5703125" style="155" bestFit="1" customWidth="1"/>
    <col min="11" max="11" width="17.85546875" style="155" bestFit="1" customWidth="1"/>
    <col min="12" max="12" width="11.140625" style="30" customWidth="1"/>
    <col min="13" max="13" width="14.5703125" style="155" bestFit="1" customWidth="1"/>
    <col min="14" max="14" width="15.42578125" style="30" bestFit="1" customWidth="1"/>
    <col min="15" max="15" width="17" style="30" bestFit="1" customWidth="1"/>
    <col min="16" max="16" width="11.140625" style="30" customWidth="1"/>
    <col min="17" max="17" width="243.7109375" style="30" bestFit="1" customWidth="1"/>
    <col min="18" max="16384" width="8.5703125" style="30"/>
  </cols>
  <sheetData>
    <row r="1" spans="1:27" ht="39" customHeight="1" thickBot="1">
      <c r="A1" s="259" t="s">
        <v>0</v>
      </c>
      <c r="B1" s="259"/>
      <c r="C1" s="259"/>
      <c r="D1" s="259"/>
      <c r="E1" s="259"/>
      <c r="F1" s="259"/>
      <c r="G1" s="259"/>
      <c r="H1" s="259"/>
      <c r="I1" s="259"/>
      <c r="J1" s="259"/>
      <c r="K1" s="259"/>
      <c r="L1" s="259"/>
      <c r="M1" s="259"/>
      <c r="N1" s="259"/>
      <c r="O1" s="259"/>
      <c r="P1" s="259"/>
      <c r="Q1" s="261"/>
      <c r="AA1" s="120" t="s">
        <v>1</v>
      </c>
    </row>
    <row r="2" spans="1:27" ht="15" customHeight="1" thickBot="1">
      <c r="A2" s="121"/>
      <c r="B2" s="121"/>
      <c r="C2" s="122"/>
      <c r="D2" s="123">
        <v>2026</v>
      </c>
      <c r="G2" s="30"/>
      <c r="I2" s="121"/>
      <c r="J2" s="30"/>
      <c r="K2" s="124"/>
      <c r="L2" s="121"/>
      <c r="M2" s="124"/>
      <c r="N2" s="121"/>
      <c r="Q2" s="261"/>
      <c r="AA2" s="125" t="s">
        <v>2</v>
      </c>
    </row>
    <row r="3" spans="1:27" ht="26.25" customHeight="1" thickBot="1">
      <c r="A3" s="121"/>
      <c r="B3" s="121"/>
      <c r="C3" s="126" t="s">
        <v>3</v>
      </c>
      <c r="D3" s="127">
        <v>77000</v>
      </c>
      <c r="E3" s="128" t="s">
        <v>4</v>
      </c>
      <c r="F3" s="128" t="s">
        <v>5</v>
      </c>
      <c r="G3" s="129" t="s">
        <v>6</v>
      </c>
      <c r="H3" s="128" t="s">
        <v>7</v>
      </c>
      <c r="I3" s="121"/>
      <c r="J3" s="130">
        <f ca="1">TODAY()</f>
        <v>46202</v>
      </c>
      <c r="K3" s="124"/>
      <c r="L3" s="121"/>
      <c r="M3" s="124"/>
      <c r="N3" s="121"/>
      <c r="O3" s="121"/>
      <c r="Q3" s="261"/>
      <c r="AA3" s="131" t="s">
        <v>8</v>
      </c>
    </row>
    <row r="4" spans="1:27" ht="15" customHeight="1">
      <c r="A4" s="121"/>
      <c r="B4" s="121"/>
      <c r="C4" s="126" t="s">
        <v>9</v>
      </c>
      <c r="D4" s="132">
        <v>110000</v>
      </c>
      <c r="E4" s="133">
        <v>0</v>
      </c>
      <c r="F4" s="133">
        <v>11000</v>
      </c>
      <c r="G4" s="134">
        <v>11000</v>
      </c>
      <c r="H4" s="133">
        <v>11000</v>
      </c>
      <c r="I4" s="121"/>
      <c r="J4" s="124"/>
      <c r="K4" s="124"/>
      <c r="L4" s="121"/>
      <c r="M4" s="124"/>
      <c r="N4" s="121"/>
      <c r="O4" s="135" t="s">
        <v>10</v>
      </c>
      <c r="Q4" s="261"/>
      <c r="AA4" s="136" t="s">
        <v>11</v>
      </c>
    </row>
    <row r="5" spans="1:27" ht="15" customHeight="1">
      <c r="A5" s="121"/>
      <c r="B5" s="121"/>
      <c r="C5" s="137" t="s">
        <v>12</v>
      </c>
      <c r="D5" s="138">
        <f>SUM(E5:H5)</f>
        <v>1000</v>
      </c>
      <c r="E5" s="139"/>
      <c r="F5" s="140">
        <v>1000</v>
      </c>
      <c r="G5" s="140">
        <v>0</v>
      </c>
      <c r="H5" s="140">
        <v>0</v>
      </c>
      <c r="I5" s="121"/>
      <c r="J5" s="260" t="str">
        <f ca="1">CONCATENATE("Forcasted for this month (", TEXT(DATE(YEAR(NOW()), MONTH(NOW()), 1),"MMMM"), ")")</f>
        <v>Forcasted for this month (June)</v>
      </c>
      <c r="K5" s="260"/>
      <c r="L5" s="260"/>
      <c r="M5" s="260"/>
      <c r="N5" s="141">
        <f ca="1">SUMIFS(G:G,J:J,"&gt;=01/05/2026",J:J,"&lt;=31/05/2026")</f>
        <v>1750</v>
      </c>
      <c r="O5" s="142">
        <v>1000</v>
      </c>
      <c r="P5" s="143">
        <f ca="1">-N5-O5</f>
        <v>-2750</v>
      </c>
      <c r="Q5" s="261"/>
      <c r="AA5" s="144" t="s">
        <v>13</v>
      </c>
    </row>
    <row r="6" spans="1:27" ht="15" customHeight="1" thickBot="1">
      <c r="A6" s="121"/>
      <c r="B6" s="121"/>
      <c r="C6" s="145" t="s">
        <v>14</v>
      </c>
      <c r="D6" s="146">
        <v>77000</v>
      </c>
      <c r="E6" s="147">
        <f>-E4+E5</f>
        <v>0</v>
      </c>
      <c r="F6" s="147">
        <f>-F4+F5</f>
        <v>-10000</v>
      </c>
      <c r="G6" s="147">
        <f>-G4+G5</f>
        <v>-11000</v>
      </c>
      <c r="H6" s="147">
        <f>-H4+H5</f>
        <v>-11000</v>
      </c>
      <c r="I6" s="121"/>
      <c r="J6" s="260" t="str">
        <f ca="1">CONCATENATE("Forcasted for next month (", TEXT(DATE(YEAR(NOW()), MONTH(NOW())+1, 1),"MMMM"), ")")</f>
        <v>Forcasted for next month (July)</v>
      </c>
      <c r="K6" s="260"/>
      <c r="L6" s="260"/>
      <c r="M6" s="260"/>
      <c r="N6" s="141">
        <f ca="1">SUMIFS(G:G,J:J,"&gt;=01/06/2026",J:J,"&lt;=31/06/2026")</f>
        <v>0</v>
      </c>
      <c r="O6" s="142"/>
      <c r="P6" s="143">
        <f ca="1">O6-N6</f>
        <v>0</v>
      </c>
      <c r="Q6" s="261"/>
      <c r="AA6" s="148" t="s">
        <v>15</v>
      </c>
    </row>
    <row r="7" spans="1:27" ht="15" customHeight="1">
      <c r="A7" s="4"/>
      <c r="B7" s="4"/>
      <c r="C7" s="149"/>
      <c r="D7" s="150"/>
      <c r="E7" s="151"/>
      <c r="F7" s="151"/>
      <c r="G7" s="152"/>
      <c r="H7" s="151"/>
      <c r="I7" s="151"/>
      <c r="J7" s="153"/>
      <c r="K7" s="154"/>
      <c r="Q7" s="261"/>
      <c r="AA7" s="156"/>
    </row>
    <row r="8" spans="1:27" s="156" customFormat="1" ht="15" customHeight="1" thickBot="1">
      <c r="A8" s="157"/>
      <c r="B8" s="157"/>
      <c r="C8" s="256">
        <v>0</v>
      </c>
      <c r="D8" s="258"/>
      <c r="E8" s="258"/>
      <c r="F8" s="258"/>
      <c r="G8" s="258"/>
      <c r="H8" s="258"/>
      <c r="I8" s="258"/>
      <c r="J8" s="258"/>
      <c r="K8" s="258"/>
      <c r="L8" s="258"/>
      <c r="M8" s="258"/>
      <c r="N8" s="258"/>
      <c r="O8" s="258"/>
      <c r="P8" s="258"/>
      <c r="Q8" s="258"/>
      <c r="AA8" s="158"/>
    </row>
    <row r="9" spans="1:27" s="158" customFormat="1" ht="15" customHeight="1" thickBot="1">
      <c r="A9" s="159"/>
      <c r="B9" s="159"/>
      <c r="C9" s="43" t="s">
        <v>16</v>
      </c>
      <c r="D9" s="44" t="s">
        <v>17</v>
      </c>
      <c r="E9" s="44" t="s">
        <v>18</v>
      </c>
      <c r="F9" s="45" t="s">
        <v>19</v>
      </c>
      <c r="G9" s="45" t="s">
        <v>20</v>
      </c>
      <c r="H9" s="46" t="s">
        <v>21</v>
      </c>
      <c r="I9" s="47" t="s">
        <v>22</v>
      </c>
      <c r="J9" s="48" t="s">
        <v>23</v>
      </c>
      <c r="K9" s="48" t="s">
        <v>24</v>
      </c>
      <c r="L9" s="44" t="s">
        <v>25</v>
      </c>
      <c r="M9" s="48" t="s">
        <v>26</v>
      </c>
      <c r="N9" s="44" t="s">
        <v>27</v>
      </c>
      <c r="O9" s="44" t="s">
        <v>28</v>
      </c>
      <c r="P9" s="44" t="s">
        <v>29</v>
      </c>
      <c r="Q9" s="49" t="s">
        <v>30</v>
      </c>
      <c r="AA9" s="30"/>
    </row>
    <row r="10" spans="1:27" ht="15" customHeight="1">
      <c r="A10" s="4"/>
      <c r="B10" s="4"/>
      <c r="C10" s="50" t="s">
        <v>31</v>
      </c>
      <c r="D10" s="50" t="s">
        <v>32</v>
      </c>
      <c r="E10" s="50" t="s">
        <v>33</v>
      </c>
      <c r="F10" s="51">
        <v>6</v>
      </c>
      <c r="G10" s="52">
        <f>SUM(H10*F10)</f>
        <v>750</v>
      </c>
      <c r="H10" s="53">
        <v>125</v>
      </c>
      <c r="I10" s="54">
        <v>0.6</v>
      </c>
      <c r="J10" s="93">
        <v>46173</v>
      </c>
      <c r="K10" s="55">
        <v>46082</v>
      </c>
      <c r="L10" s="56" t="s">
        <v>34</v>
      </c>
      <c r="M10" s="55">
        <v>46161</v>
      </c>
      <c r="N10" s="55">
        <v>46174</v>
      </c>
      <c r="O10" s="57">
        <f t="shared" ref="O10:O13" si="0">SUM(G10*12)</f>
        <v>9000</v>
      </c>
      <c r="P10" s="56">
        <v>1</v>
      </c>
      <c r="Q10" s="56" t="s">
        <v>35</v>
      </c>
    </row>
    <row r="11" spans="1:27" ht="15" customHeight="1">
      <c r="A11" s="4"/>
      <c r="B11" s="4"/>
      <c r="C11" s="50" t="s">
        <v>36</v>
      </c>
      <c r="D11" s="50" t="s">
        <v>32</v>
      </c>
      <c r="E11" s="50" t="s">
        <v>37</v>
      </c>
      <c r="F11" s="51">
        <v>88</v>
      </c>
      <c r="G11" s="52">
        <f>SUM(F11*H11)</f>
        <v>8800</v>
      </c>
      <c r="H11" s="53">
        <v>100</v>
      </c>
      <c r="I11" s="54">
        <v>0.6</v>
      </c>
      <c r="J11" s="93" t="s">
        <v>38</v>
      </c>
      <c r="K11" s="55">
        <v>45992</v>
      </c>
      <c r="L11" s="56" t="s">
        <v>34</v>
      </c>
      <c r="M11" s="55">
        <v>46156</v>
      </c>
      <c r="N11" s="55">
        <v>46204</v>
      </c>
      <c r="O11" s="57">
        <f t="shared" si="0"/>
        <v>105600</v>
      </c>
      <c r="P11" s="56">
        <v>4</v>
      </c>
      <c r="Q11" s="56" t="s">
        <v>39</v>
      </c>
    </row>
    <row r="12" spans="1:27" ht="15" customHeight="1">
      <c r="A12" s="4"/>
      <c r="B12" s="4"/>
      <c r="C12" s="108" t="s">
        <v>44</v>
      </c>
      <c r="D12" s="108" t="s">
        <v>45</v>
      </c>
      <c r="E12" s="108" t="s">
        <v>46</v>
      </c>
      <c r="F12" s="109">
        <v>18</v>
      </c>
      <c r="G12" s="70">
        <f t="shared" ref="G12:G14" si="1">SUM(F12*H12)</f>
        <v>2700</v>
      </c>
      <c r="H12" s="71">
        <v>150</v>
      </c>
      <c r="I12" s="103">
        <v>0.8</v>
      </c>
      <c r="J12" s="104" t="s">
        <v>41</v>
      </c>
      <c r="K12" s="110">
        <v>46147</v>
      </c>
      <c r="L12" s="76" t="s">
        <v>42</v>
      </c>
      <c r="M12" s="110">
        <v>46189</v>
      </c>
      <c r="N12" s="110">
        <v>46204</v>
      </c>
      <c r="O12" s="75">
        <f t="shared" si="0"/>
        <v>32400</v>
      </c>
      <c r="P12" s="76">
        <v>1</v>
      </c>
      <c r="Q12" s="76" t="s">
        <v>47</v>
      </c>
    </row>
    <row r="13" spans="1:27" ht="15" customHeight="1">
      <c r="A13" s="4"/>
      <c r="B13" s="4"/>
      <c r="C13" s="274" t="s">
        <v>48</v>
      </c>
      <c r="D13" s="108" t="s">
        <v>45</v>
      </c>
      <c r="E13" s="108" t="s">
        <v>46</v>
      </c>
      <c r="F13" s="109">
        <v>1</v>
      </c>
      <c r="G13" s="70">
        <f t="shared" si="1"/>
        <v>150</v>
      </c>
      <c r="H13" s="71">
        <v>150</v>
      </c>
      <c r="I13" s="103">
        <v>0.8</v>
      </c>
      <c r="J13" s="104" t="s">
        <v>49</v>
      </c>
      <c r="K13" s="110">
        <v>46168</v>
      </c>
      <c r="L13" s="76" t="s">
        <v>34</v>
      </c>
      <c r="M13" s="110">
        <v>46171</v>
      </c>
      <c r="N13" s="110">
        <v>46177</v>
      </c>
      <c r="O13" s="75">
        <f t="shared" si="0"/>
        <v>1800</v>
      </c>
      <c r="P13" s="76">
        <v>1</v>
      </c>
      <c r="Q13" s="76" t="s">
        <v>461</v>
      </c>
    </row>
    <row r="14" spans="1:27" ht="15" customHeight="1">
      <c r="A14" s="4"/>
      <c r="B14" s="4"/>
      <c r="C14" s="108" t="s">
        <v>50</v>
      </c>
      <c r="D14" s="108" t="s">
        <v>45</v>
      </c>
      <c r="E14" s="108" t="s">
        <v>46</v>
      </c>
      <c r="F14" s="109">
        <v>56</v>
      </c>
      <c r="G14" s="70">
        <f t="shared" si="1"/>
        <v>8400</v>
      </c>
      <c r="H14" s="71">
        <v>150</v>
      </c>
      <c r="I14" s="103">
        <v>0.6</v>
      </c>
      <c r="J14" s="104">
        <v>46266</v>
      </c>
      <c r="K14" s="110">
        <v>46139</v>
      </c>
      <c r="L14" s="76" t="s">
        <v>34</v>
      </c>
      <c r="M14" s="110">
        <v>46198</v>
      </c>
      <c r="N14" s="110">
        <v>46204</v>
      </c>
      <c r="O14" s="75">
        <f>SUM(G14*12)</f>
        <v>100800</v>
      </c>
      <c r="P14" s="76">
        <v>1</v>
      </c>
      <c r="Q14" s="76" t="s">
        <v>51</v>
      </c>
    </row>
    <row r="15" spans="1:27" ht="15" customHeight="1" thickBot="1">
      <c r="A15" s="4"/>
      <c r="B15" s="4"/>
      <c r="C15" s="35" t="s">
        <v>52</v>
      </c>
      <c r="D15" s="35" t="s">
        <v>53</v>
      </c>
      <c r="E15" s="35"/>
      <c r="F15" s="160">
        <f>SUM(F10:F14)</f>
        <v>169</v>
      </c>
      <c r="G15" s="161">
        <f>SUM(G10:G12)</f>
        <v>12250</v>
      </c>
      <c r="H15" s="162">
        <f>AVERAGE(H10:H11)</f>
        <v>112.5</v>
      </c>
      <c r="I15" s="163"/>
      <c r="J15" s="164"/>
      <c r="K15" s="164"/>
      <c r="L15" s="165"/>
      <c r="M15" s="164"/>
      <c r="N15" s="165"/>
      <c r="O15" s="161">
        <f>SUM(O10:O14)</f>
        <v>249600</v>
      </c>
      <c r="P15" s="165"/>
      <c r="Q15" s="165"/>
    </row>
    <row r="16" spans="1:27" ht="15" customHeight="1">
      <c r="A16" s="4"/>
      <c r="B16" s="4"/>
      <c r="C16" s="5"/>
      <c r="D16" s="5"/>
      <c r="E16" s="5"/>
      <c r="G16" s="166"/>
      <c r="H16" s="167"/>
      <c r="I16" s="167"/>
      <c r="J16" s="168"/>
      <c r="K16" s="168"/>
      <c r="L16" s="99"/>
      <c r="M16" s="169"/>
      <c r="N16" s="99"/>
      <c r="O16" s="99"/>
      <c r="P16" s="99"/>
    </row>
    <row r="17" spans="1:27" ht="27" customHeight="1" thickBot="1">
      <c r="A17" s="4"/>
      <c r="B17" s="4"/>
      <c r="C17" s="256" t="s">
        <v>54</v>
      </c>
      <c r="D17" s="258"/>
      <c r="E17" s="258"/>
      <c r="F17" s="258"/>
      <c r="G17" s="258"/>
      <c r="H17" s="258"/>
      <c r="I17" s="258"/>
      <c r="J17" s="258"/>
      <c r="K17" s="258"/>
      <c r="L17" s="258"/>
      <c r="M17" s="258"/>
      <c r="N17" s="258"/>
      <c r="O17" s="258"/>
      <c r="P17" s="258"/>
      <c r="Q17" s="258"/>
      <c r="AA17" s="156"/>
    </row>
    <row r="18" spans="1:27" s="156" customFormat="1" ht="15" customHeight="1">
      <c r="A18" s="157"/>
      <c r="B18" s="157"/>
      <c r="C18" s="60" t="s">
        <v>16</v>
      </c>
      <c r="D18" s="61" t="s">
        <v>17</v>
      </c>
      <c r="E18" s="61" t="s">
        <v>18</v>
      </c>
      <c r="F18" s="62" t="s">
        <v>19</v>
      </c>
      <c r="G18" s="63" t="s">
        <v>55</v>
      </c>
      <c r="H18" s="61" t="s">
        <v>21</v>
      </c>
      <c r="I18" s="61" t="s">
        <v>56</v>
      </c>
      <c r="J18" s="61" t="s">
        <v>23</v>
      </c>
      <c r="K18" s="62" t="s">
        <v>24</v>
      </c>
      <c r="L18" s="63" t="s">
        <v>57</v>
      </c>
      <c r="M18" s="64" t="s">
        <v>26</v>
      </c>
      <c r="N18" s="65" t="s">
        <v>27</v>
      </c>
      <c r="O18" s="66" t="s">
        <v>28</v>
      </c>
      <c r="P18" s="66" t="s">
        <v>29</v>
      </c>
      <c r="Q18" s="67" t="s">
        <v>58</v>
      </c>
      <c r="AA18" s="170"/>
    </row>
    <row r="19" spans="1:27" s="170" customFormat="1" ht="15" customHeight="1">
      <c r="A19" s="34">
        <v>1</v>
      </c>
      <c r="B19" s="34" t="s">
        <v>458</v>
      </c>
      <c r="C19" s="78" t="s">
        <v>59</v>
      </c>
      <c r="D19" s="68" t="s">
        <v>45</v>
      </c>
      <c r="E19" s="68" t="s">
        <v>46</v>
      </c>
      <c r="F19" s="69">
        <v>20</v>
      </c>
      <c r="G19" s="70">
        <f t="shared" ref="G19:G26" si="2">SUM(F19*H19)</f>
        <v>3000</v>
      </c>
      <c r="H19" s="71">
        <v>150</v>
      </c>
      <c r="I19" s="77" t="s">
        <v>15</v>
      </c>
      <c r="J19" s="73"/>
      <c r="K19" s="73">
        <v>45924</v>
      </c>
      <c r="L19" s="74" t="s">
        <v>60</v>
      </c>
      <c r="M19" s="73">
        <v>46190</v>
      </c>
      <c r="N19" s="73">
        <v>46192</v>
      </c>
      <c r="O19" s="119">
        <f>SUM(Prospects5[[#This Row],[Column5]]*12)</f>
        <v>36000</v>
      </c>
      <c r="P19" s="74">
        <v>7</v>
      </c>
      <c r="Q19" s="113" t="s">
        <v>61</v>
      </c>
    </row>
    <row r="20" spans="1:27" s="170" customFormat="1" ht="15" customHeight="1">
      <c r="A20" s="34">
        <v>2</v>
      </c>
      <c r="B20" s="34" t="s">
        <v>458</v>
      </c>
      <c r="C20" s="78" t="s">
        <v>62</v>
      </c>
      <c r="D20" s="68" t="s">
        <v>45</v>
      </c>
      <c r="E20" s="68" t="s">
        <v>46</v>
      </c>
      <c r="F20" s="69">
        <v>18</v>
      </c>
      <c r="G20" s="70">
        <f t="shared" si="2"/>
        <v>2700</v>
      </c>
      <c r="H20" s="71">
        <v>150</v>
      </c>
      <c r="I20" s="77" t="s">
        <v>15</v>
      </c>
      <c r="J20" s="73"/>
      <c r="K20" s="73">
        <v>45924</v>
      </c>
      <c r="L20" s="74" t="s">
        <v>60</v>
      </c>
      <c r="M20" s="73">
        <v>46191</v>
      </c>
      <c r="N20" s="73">
        <v>46195</v>
      </c>
      <c r="O20" s="119">
        <f>SUM(Prospects5[[#This Row],[Column5]]*12)</f>
        <v>32400</v>
      </c>
      <c r="P20" s="74">
        <v>8</v>
      </c>
      <c r="Q20" s="113" t="s">
        <v>63</v>
      </c>
    </row>
    <row r="21" spans="1:27" s="170" customFormat="1" ht="15" customHeight="1">
      <c r="A21" s="34">
        <v>3</v>
      </c>
      <c r="B21" s="34" t="s">
        <v>458</v>
      </c>
      <c r="C21" s="78" t="s">
        <v>64</v>
      </c>
      <c r="D21" s="68" t="s">
        <v>45</v>
      </c>
      <c r="E21" s="68" t="s">
        <v>46</v>
      </c>
      <c r="F21" s="69">
        <v>20</v>
      </c>
      <c r="G21" s="70">
        <f t="shared" si="2"/>
        <v>3000</v>
      </c>
      <c r="H21" s="71">
        <v>150</v>
      </c>
      <c r="I21" s="77" t="s">
        <v>15</v>
      </c>
      <c r="J21" s="73"/>
      <c r="K21" s="73">
        <v>45924</v>
      </c>
      <c r="L21" s="74" t="s">
        <v>60</v>
      </c>
      <c r="M21" s="73">
        <v>46189</v>
      </c>
      <c r="N21" s="73">
        <v>46192</v>
      </c>
      <c r="O21" s="119">
        <f>SUM(Prospects5[[#This Row],[Column5]]*12)</f>
        <v>36000</v>
      </c>
      <c r="P21" s="74">
        <v>7</v>
      </c>
      <c r="Q21" s="113" t="s">
        <v>65</v>
      </c>
    </row>
    <row r="22" spans="1:27" s="170" customFormat="1" ht="15" customHeight="1">
      <c r="A22" s="34">
        <v>4</v>
      </c>
      <c r="B22" s="34" t="s">
        <v>458</v>
      </c>
      <c r="C22" s="78" t="s">
        <v>66</v>
      </c>
      <c r="D22" s="68" t="s">
        <v>45</v>
      </c>
      <c r="E22" s="68" t="s">
        <v>46</v>
      </c>
      <c r="F22" s="69">
        <v>29</v>
      </c>
      <c r="G22" s="70">
        <f t="shared" si="2"/>
        <v>4350</v>
      </c>
      <c r="H22" s="71">
        <v>150</v>
      </c>
      <c r="I22" s="77" t="s">
        <v>13</v>
      </c>
      <c r="J22" s="73"/>
      <c r="K22" s="73">
        <v>45924</v>
      </c>
      <c r="L22" s="74" t="s">
        <v>60</v>
      </c>
      <c r="M22" s="73">
        <v>46190</v>
      </c>
      <c r="N22" s="73">
        <v>46197</v>
      </c>
      <c r="O22" s="119">
        <f>SUM(Prospects5[[#This Row],[Column5]]*12)</f>
        <v>52200</v>
      </c>
      <c r="P22" s="74">
        <v>9</v>
      </c>
      <c r="Q22" s="113" t="s">
        <v>67</v>
      </c>
    </row>
    <row r="23" spans="1:27" s="170" customFormat="1" ht="15" customHeight="1">
      <c r="A23" s="34">
        <v>5</v>
      </c>
      <c r="B23" s="34" t="s">
        <v>458</v>
      </c>
      <c r="C23" s="78" t="s">
        <v>68</v>
      </c>
      <c r="D23" s="68" t="s">
        <v>45</v>
      </c>
      <c r="E23" s="68" t="s">
        <v>46</v>
      </c>
      <c r="F23" s="69">
        <v>37</v>
      </c>
      <c r="G23" s="70">
        <f t="shared" si="2"/>
        <v>5550</v>
      </c>
      <c r="H23" s="71">
        <v>150</v>
      </c>
      <c r="I23" s="77" t="s">
        <v>13</v>
      </c>
      <c r="J23" s="73"/>
      <c r="K23" s="73">
        <v>45924</v>
      </c>
      <c r="L23" s="74" t="s">
        <v>69</v>
      </c>
      <c r="M23" s="73">
        <v>46192</v>
      </c>
      <c r="N23" s="73">
        <v>46195</v>
      </c>
      <c r="O23" s="119">
        <f>SUM(Prospects5[[#This Row],[Column5]]*12)</f>
        <v>66600</v>
      </c>
      <c r="P23" s="74">
        <v>8</v>
      </c>
      <c r="Q23" s="113" t="s">
        <v>70</v>
      </c>
    </row>
    <row r="24" spans="1:27" s="170" customFormat="1" ht="15" customHeight="1">
      <c r="A24" s="34">
        <v>6</v>
      </c>
      <c r="B24" s="34" t="s">
        <v>458</v>
      </c>
      <c r="C24" s="78" t="s">
        <v>71</v>
      </c>
      <c r="D24" s="68" t="s">
        <v>45</v>
      </c>
      <c r="E24" s="68" t="s">
        <v>46</v>
      </c>
      <c r="F24" s="69">
        <v>15</v>
      </c>
      <c r="G24" s="70">
        <f t="shared" si="2"/>
        <v>2250</v>
      </c>
      <c r="H24" s="71">
        <v>150</v>
      </c>
      <c r="I24" s="77" t="s">
        <v>15</v>
      </c>
      <c r="J24" s="73"/>
      <c r="K24" s="73">
        <v>45924</v>
      </c>
      <c r="L24" s="74" t="s">
        <v>69</v>
      </c>
      <c r="M24" s="73">
        <v>46197</v>
      </c>
      <c r="N24" s="73">
        <v>46203</v>
      </c>
      <c r="O24" s="119">
        <f>SUM(Prospects5[[#This Row],[Column5]]*12)</f>
        <v>27000</v>
      </c>
      <c r="P24" s="74">
        <v>6</v>
      </c>
      <c r="Q24" s="113" t="s">
        <v>72</v>
      </c>
    </row>
    <row r="25" spans="1:27" s="170" customFormat="1" ht="15" customHeight="1">
      <c r="A25" s="34">
        <v>7</v>
      </c>
      <c r="B25" s="34" t="s">
        <v>459</v>
      </c>
      <c r="C25" s="78" t="s">
        <v>73</v>
      </c>
      <c r="D25" s="68" t="s">
        <v>45</v>
      </c>
      <c r="E25" s="68" t="s">
        <v>46</v>
      </c>
      <c r="F25" s="69">
        <v>27</v>
      </c>
      <c r="G25" s="70">
        <f t="shared" si="2"/>
        <v>4050</v>
      </c>
      <c r="H25" s="71">
        <v>150</v>
      </c>
      <c r="I25" s="77" t="s">
        <v>13</v>
      </c>
      <c r="J25" s="73"/>
      <c r="K25" s="73">
        <v>45924</v>
      </c>
      <c r="L25" s="74" t="s">
        <v>60</v>
      </c>
      <c r="M25" s="73">
        <v>46190</v>
      </c>
      <c r="N25" s="73">
        <v>46407</v>
      </c>
      <c r="O25" s="119">
        <f>SUM(Prospects5[[#This Row],[Column5]]*12)</f>
        <v>48600</v>
      </c>
      <c r="P25" s="74">
        <v>10</v>
      </c>
      <c r="Q25" s="113" t="s">
        <v>74</v>
      </c>
    </row>
    <row r="26" spans="1:27" s="170" customFormat="1" ht="15" customHeight="1">
      <c r="A26" s="34">
        <v>8</v>
      </c>
      <c r="B26" s="34" t="s">
        <v>460</v>
      </c>
      <c r="C26" s="78" t="s">
        <v>75</v>
      </c>
      <c r="D26" s="68" t="s">
        <v>45</v>
      </c>
      <c r="E26" s="68" t="s">
        <v>46</v>
      </c>
      <c r="F26" s="69">
        <v>50</v>
      </c>
      <c r="G26" s="70">
        <f t="shared" si="2"/>
        <v>7500</v>
      </c>
      <c r="H26" s="71">
        <v>150</v>
      </c>
      <c r="I26" s="77" t="s">
        <v>8</v>
      </c>
      <c r="J26" s="73"/>
      <c r="K26" s="73">
        <v>45924</v>
      </c>
      <c r="L26" s="74" t="s">
        <v>69</v>
      </c>
      <c r="M26" s="73">
        <v>46197</v>
      </c>
      <c r="N26" s="73">
        <v>46315</v>
      </c>
      <c r="O26" s="119">
        <f>SUM(Prospects5[[#This Row],[Column5]]*12)</f>
        <v>90000</v>
      </c>
      <c r="P26" s="74">
        <v>8</v>
      </c>
      <c r="Q26" s="113" t="s">
        <v>432</v>
      </c>
    </row>
    <row r="27" spans="1:27" s="170" customFormat="1" ht="15" customHeight="1">
      <c r="A27" s="34">
        <v>9</v>
      </c>
      <c r="B27" s="34" t="s">
        <v>460</v>
      </c>
      <c r="C27" s="78" t="s">
        <v>76</v>
      </c>
      <c r="D27" s="68" t="s">
        <v>45</v>
      </c>
      <c r="E27" s="68" t="s">
        <v>46</v>
      </c>
      <c r="F27" s="69">
        <v>50</v>
      </c>
      <c r="G27" s="70">
        <f>SUM(F27*H27)</f>
        <v>7500</v>
      </c>
      <c r="H27" s="71">
        <v>150</v>
      </c>
      <c r="I27" s="77" t="s">
        <v>13</v>
      </c>
      <c r="J27" s="73"/>
      <c r="K27" s="73">
        <v>46093</v>
      </c>
      <c r="L27" s="74" t="s">
        <v>34</v>
      </c>
      <c r="M27" s="73">
        <v>46176</v>
      </c>
      <c r="N27" s="73">
        <v>46237</v>
      </c>
      <c r="O27" s="119">
        <f>SUM(Prospects5[[#This Row],[Column5]]*12)</f>
        <v>90000</v>
      </c>
      <c r="P27" s="74">
        <v>5</v>
      </c>
      <c r="Q27" s="113" t="s">
        <v>77</v>
      </c>
    </row>
    <row r="28" spans="1:27" s="170" customFormat="1" ht="15" customHeight="1">
      <c r="A28" s="34">
        <v>10</v>
      </c>
      <c r="B28" s="34" t="s">
        <v>458</v>
      </c>
      <c r="C28" s="78" t="s">
        <v>78</v>
      </c>
      <c r="D28" s="68" t="s">
        <v>32</v>
      </c>
      <c r="E28" s="68" t="s">
        <v>46</v>
      </c>
      <c r="F28" s="69">
        <v>56</v>
      </c>
      <c r="G28" s="70">
        <f>SUM(H28*F28)</f>
        <v>8400</v>
      </c>
      <c r="H28" s="71">
        <v>150</v>
      </c>
      <c r="I28" s="92" t="s">
        <v>13</v>
      </c>
      <c r="J28" s="73"/>
      <c r="K28" s="73">
        <v>46112</v>
      </c>
      <c r="L28" s="74" t="s">
        <v>34</v>
      </c>
      <c r="M28" s="73">
        <v>46189</v>
      </c>
      <c r="N28" s="73">
        <v>46197</v>
      </c>
      <c r="O28" s="119">
        <f>SUM(Prospects5[[#This Row],[Column5]]*12)</f>
        <v>100800</v>
      </c>
      <c r="P28" s="74">
        <v>5</v>
      </c>
      <c r="Q28" s="114" t="s">
        <v>79</v>
      </c>
    </row>
    <row r="29" spans="1:27" s="170" customFormat="1" ht="15" customHeight="1">
      <c r="A29" s="34">
        <v>11</v>
      </c>
      <c r="B29" s="34" t="s">
        <v>458</v>
      </c>
      <c r="C29" s="78" t="s">
        <v>80</v>
      </c>
      <c r="D29" s="68" t="s">
        <v>45</v>
      </c>
      <c r="E29" s="68" t="s">
        <v>46</v>
      </c>
      <c r="F29" s="69">
        <v>79</v>
      </c>
      <c r="G29" s="70">
        <f>SUM(F29*H29)</f>
        <v>11850</v>
      </c>
      <c r="H29" s="71">
        <v>150</v>
      </c>
      <c r="I29" s="77" t="s">
        <v>15</v>
      </c>
      <c r="J29" s="73"/>
      <c r="K29" s="73">
        <v>46107</v>
      </c>
      <c r="L29" s="74" t="s">
        <v>34</v>
      </c>
      <c r="M29" s="73">
        <v>46185</v>
      </c>
      <c r="N29" s="73">
        <v>46198</v>
      </c>
      <c r="O29" s="119">
        <f>SUM(Prospects5[[#This Row],[Column5]]*12)</f>
        <v>142200</v>
      </c>
      <c r="P29" s="74">
        <v>5</v>
      </c>
      <c r="Q29" s="113" t="s">
        <v>81</v>
      </c>
    </row>
    <row r="30" spans="1:27" s="170" customFormat="1" ht="15" customHeight="1">
      <c r="A30" s="34">
        <v>12</v>
      </c>
      <c r="B30" s="34" t="s">
        <v>458</v>
      </c>
      <c r="C30" s="78" t="s">
        <v>82</v>
      </c>
      <c r="D30" s="68" t="s">
        <v>45</v>
      </c>
      <c r="E30" s="68" t="s">
        <v>46</v>
      </c>
      <c r="F30" s="69">
        <v>70</v>
      </c>
      <c r="G30" s="70">
        <f>SUM(F30*H30)</f>
        <v>10500</v>
      </c>
      <c r="H30" s="71">
        <v>150</v>
      </c>
      <c r="I30" s="77" t="s">
        <v>15</v>
      </c>
      <c r="J30" s="73"/>
      <c r="K30" s="73">
        <v>46112</v>
      </c>
      <c r="L30" s="74" t="s">
        <v>60</v>
      </c>
      <c r="M30" s="73">
        <v>46197</v>
      </c>
      <c r="N30" s="73">
        <v>46198</v>
      </c>
      <c r="O30" s="119">
        <f>SUM(Prospects5[[#This Row],[Column5]]*12)</f>
        <v>126000</v>
      </c>
      <c r="P30" s="74">
        <v>6</v>
      </c>
      <c r="Q30" s="113" t="s">
        <v>83</v>
      </c>
    </row>
    <row r="31" spans="1:27" s="170" customFormat="1" ht="15" customHeight="1">
      <c r="A31" s="34">
        <v>13</v>
      </c>
      <c r="B31" s="34" t="s">
        <v>459</v>
      </c>
      <c r="C31" s="78" t="s">
        <v>84</v>
      </c>
      <c r="D31" s="68" t="s">
        <v>45</v>
      </c>
      <c r="E31" s="68" t="s">
        <v>46</v>
      </c>
      <c r="F31" s="69">
        <v>25</v>
      </c>
      <c r="G31" s="70">
        <f>SUM(F31*H31)</f>
        <v>3750</v>
      </c>
      <c r="H31" s="71">
        <v>150</v>
      </c>
      <c r="I31" s="77" t="s">
        <v>13</v>
      </c>
      <c r="J31" s="73"/>
      <c r="K31" s="73">
        <v>46113</v>
      </c>
      <c r="L31" s="74" t="s">
        <v>60</v>
      </c>
      <c r="M31" s="73">
        <v>46197</v>
      </c>
      <c r="N31" s="73">
        <v>46198</v>
      </c>
      <c r="O31" s="119">
        <f>SUM(Prospects5[[#This Row],[Column5]]*12)</f>
        <v>45000</v>
      </c>
      <c r="P31" s="74">
        <v>7</v>
      </c>
      <c r="Q31" s="113" t="s">
        <v>85</v>
      </c>
    </row>
    <row r="32" spans="1:27" s="170" customFormat="1" ht="15" customHeight="1">
      <c r="A32" s="34">
        <v>14</v>
      </c>
      <c r="B32" s="34" t="s">
        <v>459</v>
      </c>
      <c r="C32" s="78" t="s">
        <v>86</v>
      </c>
      <c r="D32" s="68" t="s">
        <v>32</v>
      </c>
      <c r="E32" s="68" t="s">
        <v>46</v>
      </c>
      <c r="F32" s="69">
        <v>30</v>
      </c>
      <c r="G32" s="70">
        <f>SUM(F32*H32)</f>
        <v>4500</v>
      </c>
      <c r="H32" s="71">
        <v>150</v>
      </c>
      <c r="I32" s="77" t="s">
        <v>15</v>
      </c>
      <c r="J32" s="73"/>
      <c r="K32" s="73">
        <v>46113</v>
      </c>
      <c r="L32" s="74" t="s">
        <v>69</v>
      </c>
      <c r="M32" s="73">
        <v>46197</v>
      </c>
      <c r="N32" s="73">
        <v>46203</v>
      </c>
      <c r="O32" s="119">
        <f>SUM(Prospects5[[#This Row],[Column5]]*12)</f>
        <v>54000</v>
      </c>
      <c r="P32" s="74">
        <v>5</v>
      </c>
      <c r="Q32" s="113" t="s">
        <v>448</v>
      </c>
    </row>
    <row r="33" spans="1:17" s="170" customFormat="1" ht="15" customHeight="1">
      <c r="A33" s="34">
        <v>15</v>
      </c>
      <c r="B33" s="34" t="s">
        <v>459</v>
      </c>
      <c r="C33" s="78" t="s">
        <v>87</v>
      </c>
      <c r="D33" s="68" t="s">
        <v>45</v>
      </c>
      <c r="E33" s="68" t="s">
        <v>46</v>
      </c>
      <c r="F33" s="69">
        <v>120</v>
      </c>
      <c r="G33" s="70">
        <f t="shared" ref="G33:G52" si="3">SUM(H33*F33)</f>
        <v>18000</v>
      </c>
      <c r="H33" s="71">
        <v>150</v>
      </c>
      <c r="I33" s="77" t="s">
        <v>15</v>
      </c>
      <c r="J33" s="73"/>
      <c r="K33" s="73">
        <v>46139</v>
      </c>
      <c r="L33" s="74" t="s">
        <v>34</v>
      </c>
      <c r="M33" s="73">
        <v>46192</v>
      </c>
      <c r="N33" s="73">
        <v>46195</v>
      </c>
      <c r="O33" s="119">
        <f>SUM(Prospects5[[#This Row],[Column5]]*12)</f>
        <v>216000</v>
      </c>
      <c r="P33" s="74">
        <v>7</v>
      </c>
      <c r="Q33" s="113" t="s">
        <v>88</v>
      </c>
    </row>
    <row r="34" spans="1:17" ht="15" customHeight="1">
      <c r="A34" s="34">
        <v>16</v>
      </c>
      <c r="B34" s="34" t="s">
        <v>458</v>
      </c>
      <c r="C34" s="78" t="s">
        <v>89</v>
      </c>
      <c r="D34" s="68" t="s">
        <v>45</v>
      </c>
      <c r="E34" s="68" t="s">
        <v>46</v>
      </c>
      <c r="F34" s="69">
        <v>120</v>
      </c>
      <c r="G34" s="70">
        <f t="shared" si="3"/>
        <v>18000</v>
      </c>
      <c r="H34" s="71">
        <v>150</v>
      </c>
      <c r="I34" s="77" t="s">
        <v>1</v>
      </c>
      <c r="J34" s="73"/>
      <c r="K34" s="73">
        <v>46139</v>
      </c>
      <c r="L34" s="74" t="s">
        <v>34</v>
      </c>
      <c r="M34" s="73">
        <v>46141</v>
      </c>
      <c r="N34" s="73">
        <v>46244</v>
      </c>
      <c r="O34" s="119">
        <f>SUM(Prospects5[[#This Row],[Column5]]*12)</f>
        <v>216000</v>
      </c>
      <c r="P34" s="74">
        <v>2</v>
      </c>
      <c r="Q34" s="113" t="s">
        <v>90</v>
      </c>
    </row>
    <row r="35" spans="1:17" ht="15" customHeight="1">
      <c r="A35" s="34">
        <v>17</v>
      </c>
      <c r="B35" s="34" t="s">
        <v>459</v>
      </c>
      <c r="C35" s="78" t="s">
        <v>91</v>
      </c>
      <c r="D35" s="68" t="s">
        <v>45</v>
      </c>
      <c r="E35" s="68" t="s">
        <v>46</v>
      </c>
      <c r="F35" s="69">
        <v>120</v>
      </c>
      <c r="G35" s="70">
        <f t="shared" si="3"/>
        <v>18000</v>
      </c>
      <c r="H35" s="71">
        <v>150</v>
      </c>
      <c r="I35" s="79" t="s">
        <v>15</v>
      </c>
      <c r="J35" s="73"/>
      <c r="K35" s="73">
        <v>46139</v>
      </c>
      <c r="L35" s="74" t="s">
        <v>34</v>
      </c>
      <c r="M35" s="73">
        <v>46192</v>
      </c>
      <c r="N35" s="73">
        <v>46194</v>
      </c>
      <c r="O35" s="119">
        <f>SUM(Prospects5[[#This Row],[Column5]]*12)</f>
        <v>216000</v>
      </c>
      <c r="P35" s="74">
        <v>7</v>
      </c>
      <c r="Q35" s="113" t="s">
        <v>92</v>
      </c>
    </row>
    <row r="36" spans="1:17" ht="15" customHeight="1">
      <c r="A36" s="34">
        <v>18</v>
      </c>
      <c r="B36" s="34" t="s">
        <v>460</v>
      </c>
      <c r="C36" s="78" t="s">
        <v>93</v>
      </c>
      <c r="D36" s="68" t="s">
        <v>32</v>
      </c>
      <c r="E36" s="68" t="s">
        <v>46</v>
      </c>
      <c r="F36" s="69">
        <v>200</v>
      </c>
      <c r="G36" s="70">
        <f t="shared" si="3"/>
        <v>30000</v>
      </c>
      <c r="H36" s="71">
        <v>150</v>
      </c>
      <c r="I36" s="72" t="s">
        <v>13</v>
      </c>
      <c r="J36" s="73"/>
      <c r="K36" s="73">
        <v>46140</v>
      </c>
      <c r="L36" s="74" t="s">
        <v>34</v>
      </c>
      <c r="M36" s="73">
        <v>46177</v>
      </c>
      <c r="N36" s="73">
        <v>46211</v>
      </c>
      <c r="O36" s="119">
        <f>SUM(Prospects5[[#This Row],[Column5]]*12)</f>
        <v>360000</v>
      </c>
      <c r="P36" s="74">
        <v>5</v>
      </c>
      <c r="Q36" s="113" t="s">
        <v>94</v>
      </c>
    </row>
    <row r="37" spans="1:17" ht="15" customHeight="1">
      <c r="A37" s="34">
        <v>19</v>
      </c>
      <c r="B37" s="34" t="s">
        <v>459</v>
      </c>
      <c r="C37" s="78" t="s">
        <v>95</v>
      </c>
      <c r="D37" s="68" t="s">
        <v>45</v>
      </c>
      <c r="E37" s="68" t="s">
        <v>46</v>
      </c>
      <c r="F37" s="69">
        <v>120</v>
      </c>
      <c r="G37" s="70">
        <f t="shared" si="3"/>
        <v>18000</v>
      </c>
      <c r="H37" s="71">
        <v>150</v>
      </c>
      <c r="I37" s="72" t="s">
        <v>1</v>
      </c>
      <c r="J37" s="73"/>
      <c r="K37" s="73">
        <v>46140</v>
      </c>
      <c r="L37" s="74" t="s">
        <v>34</v>
      </c>
      <c r="M37" s="73">
        <v>46154</v>
      </c>
      <c r="N37" s="73">
        <v>46308</v>
      </c>
      <c r="O37" s="119">
        <f>SUM(Prospects5[[#This Row],[Column5]]*12)</f>
        <v>216000</v>
      </c>
      <c r="P37" s="74">
        <v>2</v>
      </c>
      <c r="Q37" s="113" t="s">
        <v>96</v>
      </c>
    </row>
    <row r="38" spans="1:17" ht="15" customHeight="1">
      <c r="A38" s="34">
        <v>20</v>
      </c>
      <c r="B38" s="34" t="s">
        <v>460</v>
      </c>
      <c r="C38" s="78" t="s">
        <v>97</v>
      </c>
      <c r="D38" s="68" t="s">
        <v>45</v>
      </c>
      <c r="E38" s="68" t="s">
        <v>46</v>
      </c>
      <c r="F38" s="69">
        <v>120</v>
      </c>
      <c r="G38" s="70">
        <f t="shared" si="3"/>
        <v>18000</v>
      </c>
      <c r="H38" s="71">
        <v>150</v>
      </c>
      <c r="I38" s="72" t="s">
        <v>15</v>
      </c>
      <c r="J38" s="73"/>
      <c r="K38" s="73">
        <v>46140</v>
      </c>
      <c r="L38" s="74" t="s">
        <v>34</v>
      </c>
      <c r="M38" s="73">
        <v>46177</v>
      </c>
      <c r="N38" s="73">
        <v>46182</v>
      </c>
      <c r="O38" s="119">
        <f>SUM(Prospects5[[#This Row],[Column5]]*12)</f>
        <v>216000</v>
      </c>
      <c r="P38" s="74">
        <v>5</v>
      </c>
      <c r="Q38" s="113" t="s">
        <v>98</v>
      </c>
    </row>
    <row r="39" spans="1:17" ht="15" customHeight="1">
      <c r="A39" s="34">
        <v>21</v>
      </c>
      <c r="B39" s="34" t="s">
        <v>459</v>
      </c>
      <c r="C39" s="78" t="s">
        <v>99</v>
      </c>
      <c r="D39" s="68" t="s">
        <v>32</v>
      </c>
      <c r="E39" s="68" t="s">
        <v>46</v>
      </c>
      <c r="F39" s="69">
        <v>120</v>
      </c>
      <c r="G39" s="70">
        <f t="shared" si="3"/>
        <v>18000</v>
      </c>
      <c r="H39" s="71">
        <v>150</v>
      </c>
      <c r="I39" s="72" t="s">
        <v>1</v>
      </c>
      <c r="J39" s="73"/>
      <c r="K39" s="73">
        <v>46140</v>
      </c>
      <c r="L39" s="74" t="s">
        <v>34</v>
      </c>
      <c r="M39" s="73">
        <v>46177</v>
      </c>
      <c r="N39" s="73">
        <v>46315</v>
      </c>
      <c r="O39" s="119">
        <f>SUM(Prospects5[[#This Row],[Column5]]*12)</f>
        <v>216000</v>
      </c>
      <c r="P39" s="74">
        <v>4</v>
      </c>
      <c r="Q39" s="113" t="s">
        <v>100</v>
      </c>
    </row>
    <row r="40" spans="1:17" ht="15" customHeight="1">
      <c r="A40" s="34">
        <v>22</v>
      </c>
      <c r="B40" s="34" t="s">
        <v>459</v>
      </c>
      <c r="C40" s="78" t="s">
        <v>102</v>
      </c>
      <c r="D40" s="68" t="s">
        <v>32</v>
      </c>
      <c r="E40" s="68" t="s">
        <v>46</v>
      </c>
      <c r="F40" s="69">
        <v>120</v>
      </c>
      <c r="G40" s="70">
        <f t="shared" si="3"/>
        <v>18000</v>
      </c>
      <c r="H40" s="71">
        <v>150</v>
      </c>
      <c r="I40" s="72" t="s">
        <v>15</v>
      </c>
      <c r="J40" s="73"/>
      <c r="K40" s="73">
        <v>46140</v>
      </c>
      <c r="L40" s="74" t="s">
        <v>34</v>
      </c>
      <c r="M40" s="73">
        <v>46191</v>
      </c>
      <c r="N40" s="73">
        <v>46199</v>
      </c>
      <c r="O40" s="119">
        <f>SUM(Prospects5[[#This Row],[Column5]]*12)</f>
        <v>216000</v>
      </c>
      <c r="P40" s="74">
        <v>7</v>
      </c>
      <c r="Q40" s="113" t="s">
        <v>103</v>
      </c>
    </row>
    <row r="41" spans="1:17" ht="15" customHeight="1">
      <c r="A41" s="34">
        <v>23</v>
      </c>
      <c r="B41" s="34" t="s">
        <v>459</v>
      </c>
      <c r="C41" s="78" t="s">
        <v>104</v>
      </c>
      <c r="D41" s="68" t="s">
        <v>45</v>
      </c>
      <c r="E41" s="68" t="s">
        <v>46</v>
      </c>
      <c r="F41" s="69">
        <v>120</v>
      </c>
      <c r="G41" s="70">
        <f t="shared" si="3"/>
        <v>18000</v>
      </c>
      <c r="H41" s="71">
        <v>150</v>
      </c>
      <c r="I41" s="72" t="s">
        <v>15</v>
      </c>
      <c r="J41" s="73"/>
      <c r="K41" s="73">
        <v>46140</v>
      </c>
      <c r="L41" s="74" t="s">
        <v>34</v>
      </c>
      <c r="M41" s="73">
        <v>46190</v>
      </c>
      <c r="N41" s="73">
        <v>46197</v>
      </c>
      <c r="O41" s="119">
        <f>SUM(Prospects5[[#This Row],[Column5]]*12)</f>
        <v>216000</v>
      </c>
      <c r="P41" s="74">
        <v>5</v>
      </c>
      <c r="Q41" s="113" t="s">
        <v>105</v>
      </c>
    </row>
    <row r="42" spans="1:17" ht="15" customHeight="1">
      <c r="A42" s="34">
        <v>24</v>
      </c>
      <c r="B42" s="34" t="s">
        <v>460</v>
      </c>
      <c r="C42" s="78" t="s">
        <v>106</v>
      </c>
      <c r="D42" s="68" t="s">
        <v>45</v>
      </c>
      <c r="E42" s="68" t="s">
        <v>46</v>
      </c>
      <c r="F42" s="69">
        <v>110</v>
      </c>
      <c r="G42" s="70">
        <f t="shared" si="3"/>
        <v>16500</v>
      </c>
      <c r="H42" s="71">
        <v>150</v>
      </c>
      <c r="I42" s="72" t="s">
        <v>13</v>
      </c>
      <c r="J42" s="73"/>
      <c r="K42" s="73">
        <v>46140</v>
      </c>
      <c r="L42" s="74" t="s">
        <v>34</v>
      </c>
      <c r="M42" s="73">
        <v>46198</v>
      </c>
      <c r="N42" s="73">
        <v>46203</v>
      </c>
      <c r="O42" s="119">
        <f>SUM(Prospects5[[#This Row],[Column5]]*12)</f>
        <v>198000</v>
      </c>
      <c r="P42" s="74">
        <v>7</v>
      </c>
      <c r="Q42" s="113" t="s">
        <v>445</v>
      </c>
    </row>
    <row r="43" spans="1:17" ht="15" customHeight="1">
      <c r="A43" s="34">
        <v>25</v>
      </c>
      <c r="B43" s="34" t="s">
        <v>459</v>
      </c>
      <c r="C43" s="78" t="s">
        <v>107</v>
      </c>
      <c r="D43" s="68" t="s">
        <v>32</v>
      </c>
      <c r="E43" s="68" t="s">
        <v>46</v>
      </c>
      <c r="F43" s="69">
        <v>110</v>
      </c>
      <c r="G43" s="70">
        <f t="shared" si="3"/>
        <v>16500</v>
      </c>
      <c r="H43" s="71">
        <v>150</v>
      </c>
      <c r="I43" s="72" t="s">
        <v>1</v>
      </c>
      <c r="J43" s="73"/>
      <c r="K43" s="73">
        <v>46140</v>
      </c>
      <c r="L43" s="74" t="s">
        <v>34</v>
      </c>
      <c r="M43" s="73">
        <v>46168</v>
      </c>
      <c r="N43" s="73">
        <v>46176</v>
      </c>
      <c r="O43" s="119">
        <f>SUM(Prospects5[[#This Row],[Column5]]*12)</f>
        <v>198000</v>
      </c>
      <c r="P43" s="74">
        <v>3</v>
      </c>
      <c r="Q43" s="113" t="s">
        <v>108</v>
      </c>
    </row>
    <row r="44" spans="1:17" ht="15" customHeight="1">
      <c r="A44" s="34">
        <v>26</v>
      </c>
      <c r="B44" s="34" t="s">
        <v>459</v>
      </c>
      <c r="C44" s="78" t="s">
        <v>109</v>
      </c>
      <c r="D44" s="68" t="s">
        <v>45</v>
      </c>
      <c r="E44" s="68" t="s">
        <v>46</v>
      </c>
      <c r="F44" s="69">
        <v>110</v>
      </c>
      <c r="G44" s="70">
        <f t="shared" si="3"/>
        <v>16500</v>
      </c>
      <c r="H44" s="71">
        <v>150</v>
      </c>
      <c r="I44" s="72" t="s">
        <v>1</v>
      </c>
      <c r="J44" s="73"/>
      <c r="K44" s="73">
        <v>46140</v>
      </c>
      <c r="L44" s="74" t="s">
        <v>34</v>
      </c>
      <c r="M44" s="73">
        <v>46168</v>
      </c>
      <c r="N44" s="73">
        <v>46176</v>
      </c>
      <c r="O44" s="119">
        <f>SUM(Prospects5[[#This Row],[Column5]]*12)</f>
        <v>198000</v>
      </c>
      <c r="P44" s="74">
        <v>3</v>
      </c>
      <c r="Q44" s="113" t="s">
        <v>110</v>
      </c>
    </row>
    <row r="45" spans="1:17" ht="15" customHeight="1">
      <c r="A45" s="34">
        <v>27</v>
      </c>
      <c r="B45" s="34" t="s">
        <v>459</v>
      </c>
      <c r="C45" s="78" t="s">
        <v>111</v>
      </c>
      <c r="D45" s="68" t="s">
        <v>32</v>
      </c>
      <c r="E45" s="68" t="s">
        <v>46</v>
      </c>
      <c r="F45" s="69">
        <v>110</v>
      </c>
      <c r="G45" s="70">
        <f t="shared" si="3"/>
        <v>16500</v>
      </c>
      <c r="H45" s="71">
        <v>150</v>
      </c>
      <c r="I45" s="72" t="s">
        <v>1</v>
      </c>
      <c r="J45" s="73"/>
      <c r="K45" s="73">
        <v>46140</v>
      </c>
      <c r="L45" s="74" t="s">
        <v>34</v>
      </c>
      <c r="M45" s="73">
        <v>46149</v>
      </c>
      <c r="N45" s="73">
        <v>46164</v>
      </c>
      <c r="O45" s="119">
        <f>SUM(Prospects5[[#This Row],[Column5]]*12)</f>
        <v>198000</v>
      </c>
      <c r="P45" s="74">
        <v>3</v>
      </c>
      <c r="Q45" s="113" t="s">
        <v>112</v>
      </c>
    </row>
    <row r="46" spans="1:17" ht="15" customHeight="1">
      <c r="A46" s="34">
        <v>28</v>
      </c>
      <c r="B46" s="34" t="s">
        <v>459</v>
      </c>
      <c r="C46" s="78" t="s">
        <v>113</v>
      </c>
      <c r="D46" s="68" t="s">
        <v>45</v>
      </c>
      <c r="E46" s="68" t="s">
        <v>46</v>
      </c>
      <c r="F46" s="69">
        <v>110</v>
      </c>
      <c r="G46" s="70">
        <f t="shared" si="3"/>
        <v>16500</v>
      </c>
      <c r="H46" s="71">
        <v>150</v>
      </c>
      <c r="I46" s="72" t="s">
        <v>15</v>
      </c>
      <c r="J46" s="73"/>
      <c r="K46" s="73">
        <v>46140</v>
      </c>
      <c r="L46" s="74" t="s">
        <v>34</v>
      </c>
      <c r="M46" s="73">
        <v>46197</v>
      </c>
      <c r="N46" s="73">
        <v>46203</v>
      </c>
      <c r="O46" s="119">
        <f>SUM(Prospects5[[#This Row],[Column5]]*12)</f>
        <v>198000</v>
      </c>
      <c r="P46" s="74">
        <v>6</v>
      </c>
      <c r="Q46" s="113" t="s">
        <v>433</v>
      </c>
    </row>
    <row r="47" spans="1:17" ht="15" customHeight="1">
      <c r="A47" s="34">
        <v>29</v>
      </c>
      <c r="B47" s="34" t="s">
        <v>459</v>
      </c>
      <c r="C47" s="78" t="s">
        <v>114</v>
      </c>
      <c r="D47" s="68" t="s">
        <v>45</v>
      </c>
      <c r="E47" s="68" t="s">
        <v>46</v>
      </c>
      <c r="F47" s="69">
        <v>120</v>
      </c>
      <c r="G47" s="70">
        <f t="shared" si="3"/>
        <v>18000</v>
      </c>
      <c r="H47" s="71">
        <v>150</v>
      </c>
      <c r="I47" s="72" t="s">
        <v>15</v>
      </c>
      <c r="J47" s="73"/>
      <c r="K47" s="73">
        <v>46140</v>
      </c>
      <c r="L47" s="74" t="s">
        <v>34</v>
      </c>
      <c r="M47" s="73">
        <v>46185</v>
      </c>
      <c r="N47" s="73">
        <v>46189</v>
      </c>
      <c r="O47" s="119">
        <f>SUM(Prospects5[[#This Row],[Column5]]*12)</f>
        <v>216000</v>
      </c>
      <c r="P47" s="74">
        <v>5</v>
      </c>
      <c r="Q47" s="113" t="s">
        <v>115</v>
      </c>
    </row>
    <row r="48" spans="1:17" ht="15" customHeight="1">
      <c r="A48" s="34">
        <v>30</v>
      </c>
      <c r="B48" s="34" t="s">
        <v>459</v>
      </c>
      <c r="C48" s="115" t="s">
        <v>116</v>
      </c>
      <c r="D48" s="68" t="s">
        <v>32</v>
      </c>
      <c r="E48" s="68" t="s">
        <v>46</v>
      </c>
      <c r="F48" s="69">
        <v>110</v>
      </c>
      <c r="G48" s="70">
        <f t="shared" si="3"/>
        <v>16500</v>
      </c>
      <c r="H48" s="71">
        <v>150</v>
      </c>
      <c r="I48" s="72" t="s">
        <v>1</v>
      </c>
      <c r="J48" s="73"/>
      <c r="K48" s="73">
        <v>46140</v>
      </c>
      <c r="L48" s="74" t="s">
        <v>34</v>
      </c>
      <c r="M48" s="73">
        <v>46168</v>
      </c>
      <c r="N48" s="73">
        <v>46176</v>
      </c>
      <c r="O48" s="119">
        <f>SUM(Prospects5[[#This Row],[Column5]]*12)</f>
        <v>198000</v>
      </c>
      <c r="P48" s="74">
        <v>2</v>
      </c>
      <c r="Q48" s="113" t="s">
        <v>117</v>
      </c>
    </row>
    <row r="49" spans="1:17" ht="15" customHeight="1">
      <c r="A49" s="34">
        <v>31</v>
      </c>
      <c r="B49" s="34" t="s">
        <v>459</v>
      </c>
      <c r="C49" s="115" t="s">
        <v>118</v>
      </c>
      <c r="D49" s="68" t="s">
        <v>32</v>
      </c>
      <c r="E49" s="68" t="s">
        <v>46</v>
      </c>
      <c r="F49" s="69">
        <v>110</v>
      </c>
      <c r="G49" s="70">
        <f t="shared" si="3"/>
        <v>16500</v>
      </c>
      <c r="H49" s="71">
        <v>150</v>
      </c>
      <c r="I49" s="72" t="s">
        <v>13</v>
      </c>
      <c r="J49" s="73"/>
      <c r="K49" s="73">
        <v>46140</v>
      </c>
      <c r="L49" s="74" t="s">
        <v>34</v>
      </c>
      <c r="M49" s="73">
        <v>46184</v>
      </c>
      <c r="N49" s="73">
        <v>46205</v>
      </c>
      <c r="O49" s="119">
        <f>SUM(Prospects5[[#This Row],[Column5]]*12)</f>
        <v>198000</v>
      </c>
      <c r="P49" s="74">
        <v>5</v>
      </c>
      <c r="Q49" s="113" t="s">
        <v>119</v>
      </c>
    </row>
    <row r="50" spans="1:17" ht="15" customHeight="1">
      <c r="A50" s="34">
        <v>32</v>
      </c>
      <c r="B50" s="34" t="s">
        <v>459</v>
      </c>
      <c r="C50" s="116" t="s">
        <v>120</v>
      </c>
      <c r="D50" s="68" t="s">
        <v>45</v>
      </c>
      <c r="E50" s="68" t="s">
        <v>46</v>
      </c>
      <c r="F50" s="69">
        <v>90</v>
      </c>
      <c r="G50" s="70">
        <f t="shared" si="3"/>
        <v>13500</v>
      </c>
      <c r="H50" s="71">
        <v>150</v>
      </c>
      <c r="I50" s="72" t="s">
        <v>13</v>
      </c>
      <c r="J50" s="73"/>
      <c r="K50" s="73">
        <v>46140</v>
      </c>
      <c r="L50" s="74" t="s">
        <v>34</v>
      </c>
      <c r="M50" s="73">
        <v>46190</v>
      </c>
      <c r="N50" s="73">
        <v>46197</v>
      </c>
      <c r="O50" s="119">
        <f>SUM(Prospects5[[#This Row],[Column5]]*12)</f>
        <v>162000</v>
      </c>
      <c r="P50" s="74">
        <v>4</v>
      </c>
      <c r="Q50" s="114" t="s">
        <v>121</v>
      </c>
    </row>
    <row r="51" spans="1:17" ht="15" customHeight="1">
      <c r="A51" s="34">
        <v>33</v>
      </c>
      <c r="B51" s="34" t="s">
        <v>459</v>
      </c>
      <c r="C51" s="78" t="s">
        <v>122</v>
      </c>
      <c r="D51" s="68" t="s">
        <v>32</v>
      </c>
      <c r="E51" s="68" t="s">
        <v>46</v>
      </c>
      <c r="F51" s="69">
        <v>110</v>
      </c>
      <c r="G51" s="70">
        <f t="shared" si="3"/>
        <v>16500</v>
      </c>
      <c r="H51" s="71">
        <v>150</v>
      </c>
      <c r="I51" s="72" t="s">
        <v>15</v>
      </c>
      <c r="J51" s="73"/>
      <c r="K51" s="73">
        <v>46141</v>
      </c>
      <c r="L51" s="74" t="s">
        <v>34</v>
      </c>
      <c r="M51" s="73">
        <v>46197</v>
      </c>
      <c r="N51" s="73">
        <v>46203</v>
      </c>
      <c r="O51" s="119">
        <f>SUM(Prospects5[[#This Row],[Column5]]*12)</f>
        <v>198000</v>
      </c>
      <c r="P51" s="74">
        <v>5</v>
      </c>
      <c r="Q51" s="113" t="s">
        <v>123</v>
      </c>
    </row>
    <row r="52" spans="1:17" ht="15" customHeight="1">
      <c r="A52" s="34">
        <v>34</v>
      </c>
      <c r="B52" s="34" t="s">
        <v>459</v>
      </c>
      <c r="C52" s="78" t="s">
        <v>124</v>
      </c>
      <c r="D52" s="68" t="s">
        <v>32</v>
      </c>
      <c r="E52" s="68" t="s">
        <v>46</v>
      </c>
      <c r="F52" s="69">
        <v>110</v>
      </c>
      <c r="G52" s="70">
        <f t="shared" si="3"/>
        <v>16500</v>
      </c>
      <c r="H52" s="71">
        <v>150</v>
      </c>
      <c r="I52" s="72" t="s">
        <v>15</v>
      </c>
      <c r="J52" s="73"/>
      <c r="K52" s="73">
        <v>46141</v>
      </c>
      <c r="L52" s="74" t="s">
        <v>34</v>
      </c>
      <c r="M52" s="73">
        <v>46197</v>
      </c>
      <c r="N52" s="73">
        <v>46203</v>
      </c>
      <c r="O52" s="119">
        <f>SUM(Prospects5[[#This Row],[Column5]]*12)</f>
        <v>198000</v>
      </c>
      <c r="P52" s="74">
        <v>6</v>
      </c>
      <c r="Q52" s="113" t="s">
        <v>438</v>
      </c>
    </row>
    <row r="53" spans="1:17" ht="15" customHeight="1">
      <c r="A53" s="34">
        <v>35</v>
      </c>
      <c r="B53" s="34" t="s">
        <v>459</v>
      </c>
      <c r="C53" s="78" t="s">
        <v>125</v>
      </c>
      <c r="D53" s="68" t="s">
        <v>32</v>
      </c>
      <c r="E53" s="68" t="s">
        <v>46</v>
      </c>
      <c r="F53" s="69">
        <v>110</v>
      </c>
      <c r="G53" s="70">
        <f t="shared" ref="G53:G71" si="4">SUM(H53*F53)</f>
        <v>16500</v>
      </c>
      <c r="H53" s="71">
        <v>150</v>
      </c>
      <c r="I53" s="72" t="s">
        <v>15</v>
      </c>
      <c r="J53" s="73"/>
      <c r="K53" s="73">
        <v>46141</v>
      </c>
      <c r="L53" s="74" t="s">
        <v>34</v>
      </c>
      <c r="M53" s="73">
        <v>46197</v>
      </c>
      <c r="N53" s="73">
        <v>46203</v>
      </c>
      <c r="O53" s="119">
        <f>SUM(Prospects5[[#This Row],[Column5]]*12)</f>
        <v>198000</v>
      </c>
      <c r="P53" s="74">
        <v>6</v>
      </c>
      <c r="Q53" s="113" t="s">
        <v>436</v>
      </c>
    </row>
    <row r="54" spans="1:17" ht="15" customHeight="1">
      <c r="A54" s="34">
        <v>36</v>
      </c>
      <c r="B54" s="34" t="s">
        <v>459</v>
      </c>
      <c r="C54" s="78" t="s">
        <v>126</v>
      </c>
      <c r="D54" s="68" t="s">
        <v>32</v>
      </c>
      <c r="E54" s="68" t="s">
        <v>46</v>
      </c>
      <c r="F54" s="69">
        <v>110</v>
      </c>
      <c r="G54" s="70">
        <f t="shared" si="4"/>
        <v>16500</v>
      </c>
      <c r="H54" s="71">
        <v>150</v>
      </c>
      <c r="I54" s="72" t="s">
        <v>13</v>
      </c>
      <c r="J54" s="73"/>
      <c r="K54" s="73">
        <v>46141</v>
      </c>
      <c r="L54" s="74" t="s">
        <v>34</v>
      </c>
      <c r="M54" s="73">
        <v>46174</v>
      </c>
      <c r="N54" s="73">
        <v>46177</v>
      </c>
      <c r="O54" s="119">
        <f>SUM(Prospects5[[#This Row],[Column5]]*12)</f>
        <v>198000</v>
      </c>
      <c r="P54" s="74">
        <v>2</v>
      </c>
      <c r="Q54" s="113" t="s">
        <v>127</v>
      </c>
    </row>
    <row r="55" spans="1:17" ht="15" customHeight="1">
      <c r="A55" s="34">
        <v>37</v>
      </c>
      <c r="B55" s="34" t="s">
        <v>459</v>
      </c>
      <c r="C55" s="78" t="s">
        <v>128</v>
      </c>
      <c r="D55" s="68" t="s">
        <v>32</v>
      </c>
      <c r="E55" s="68" t="s">
        <v>46</v>
      </c>
      <c r="F55" s="69">
        <v>110</v>
      </c>
      <c r="G55" s="70">
        <f t="shared" si="4"/>
        <v>16500</v>
      </c>
      <c r="H55" s="71">
        <v>150</v>
      </c>
      <c r="I55" s="72" t="s">
        <v>13</v>
      </c>
      <c r="J55" s="73"/>
      <c r="K55" s="73">
        <v>46141</v>
      </c>
      <c r="L55" s="74" t="s">
        <v>34</v>
      </c>
      <c r="M55" s="73">
        <v>46184</v>
      </c>
      <c r="N55" s="73">
        <v>46218</v>
      </c>
      <c r="O55" s="119">
        <f>SUM(Prospects5[[#This Row],[Column5]]*12)</f>
        <v>198000</v>
      </c>
      <c r="P55" s="74">
        <v>4</v>
      </c>
      <c r="Q55" s="113" t="s">
        <v>129</v>
      </c>
    </row>
    <row r="56" spans="1:17" ht="15" customHeight="1">
      <c r="A56" s="34">
        <v>38</v>
      </c>
      <c r="B56" s="34" t="s">
        <v>459</v>
      </c>
      <c r="C56" s="78" t="s">
        <v>130</v>
      </c>
      <c r="D56" s="68" t="s">
        <v>32</v>
      </c>
      <c r="E56" s="68" t="s">
        <v>46</v>
      </c>
      <c r="F56" s="69">
        <v>110</v>
      </c>
      <c r="G56" s="70">
        <f t="shared" si="4"/>
        <v>16500</v>
      </c>
      <c r="H56" s="71">
        <v>150</v>
      </c>
      <c r="I56" s="72" t="s">
        <v>15</v>
      </c>
      <c r="J56" s="73"/>
      <c r="K56" s="73">
        <v>46141</v>
      </c>
      <c r="L56" s="74" t="s">
        <v>34</v>
      </c>
      <c r="M56" s="73">
        <v>46197</v>
      </c>
      <c r="N56" s="73">
        <v>46203</v>
      </c>
      <c r="O56" s="119">
        <f>SUM(Prospects5[[#This Row],[Column5]]*12)</f>
        <v>198000</v>
      </c>
      <c r="P56" s="74">
        <v>6</v>
      </c>
      <c r="Q56" s="113" t="s">
        <v>434</v>
      </c>
    </row>
    <row r="57" spans="1:17" ht="15" customHeight="1">
      <c r="A57" s="34">
        <v>39</v>
      </c>
      <c r="B57" s="34" t="s">
        <v>458</v>
      </c>
      <c r="C57" s="78" t="s">
        <v>131</v>
      </c>
      <c r="D57" s="68" t="s">
        <v>32</v>
      </c>
      <c r="E57" s="68" t="s">
        <v>46</v>
      </c>
      <c r="F57" s="69">
        <v>100</v>
      </c>
      <c r="G57" s="70">
        <f t="shared" si="4"/>
        <v>15000</v>
      </c>
      <c r="H57" s="71">
        <v>150</v>
      </c>
      <c r="I57" s="72" t="s">
        <v>13</v>
      </c>
      <c r="J57" s="73"/>
      <c r="K57" s="73">
        <v>46141</v>
      </c>
      <c r="L57" s="74" t="s">
        <v>34</v>
      </c>
      <c r="M57" s="73">
        <v>46189</v>
      </c>
      <c r="N57" s="73">
        <v>46191</v>
      </c>
      <c r="O57" s="119">
        <f>SUM(Prospects5[[#This Row],[Column5]]*12)</f>
        <v>180000</v>
      </c>
      <c r="P57" s="74">
        <v>4</v>
      </c>
      <c r="Q57" s="113" t="s">
        <v>441</v>
      </c>
    </row>
    <row r="58" spans="1:17" ht="15" customHeight="1">
      <c r="A58" s="34">
        <v>40</v>
      </c>
      <c r="B58" s="34" t="s">
        <v>460</v>
      </c>
      <c r="C58" s="78" t="s">
        <v>132</v>
      </c>
      <c r="D58" s="68" t="s">
        <v>32</v>
      </c>
      <c r="E58" s="68" t="s">
        <v>46</v>
      </c>
      <c r="F58" s="69">
        <v>100</v>
      </c>
      <c r="G58" s="70">
        <f t="shared" si="4"/>
        <v>15000</v>
      </c>
      <c r="H58" s="71">
        <v>150</v>
      </c>
      <c r="I58" s="72" t="s">
        <v>15</v>
      </c>
      <c r="J58" s="73"/>
      <c r="K58" s="73">
        <v>46141</v>
      </c>
      <c r="L58" s="74" t="s">
        <v>34</v>
      </c>
      <c r="M58" s="73">
        <v>46184</v>
      </c>
      <c r="N58" s="73">
        <v>46188</v>
      </c>
      <c r="O58" s="119">
        <f>SUM(Prospects5[[#This Row],[Column5]]*12)</f>
        <v>180000</v>
      </c>
      <c r="P58" s="74">
        <v>6</v>
      </c>
      <c r="Q58" s="113" t="s">
        <v>133</v>
      </c>
    </row>
    <row r="59" spans="1:17" ht="15" customHeight="1">
      <c r="A59" s="34">
        <v>41</v>
      </c>
      <c r="B59" s="34" t="s">
        <v>460</v>
      </c>
      <c r="C59" s="78" t="s">
        <v>134</v>
      </c>
      <c r="D59" s="68" t="s">
        <v>32</v>
      </c>
      <c r="E59" s="68" t="s">
        <v>46</v>
      </c>
      <c r="F59" s="69">
        <v>100</v>
      </c>
      <c r="G59" s="70">
        <f t="shared" si="4"/>
        <v>15000</v>
      </c>
      <c r="H59" s="71">
        <v>150</v>
      </c>
      <c r="I59" s="72" t="s">
        <v>13</v>
      </c>
      <c r="J59" s="73"/>
      <c r="K59" s="73">
        <v>46141</v>
      </c>
      <c r="L59" s="74" t="s">
        <v>34</v>
      </c>
      <c r="M59" s="73">
        <v>46191</v>
      </c>
      <c r="N59" s="73">
        <v>46176</v>
      </c>
      <c r="O59" s="119">
        <f>SUM(Prospects5[[#This Row],[Column5]]*12)</f>
        <v>180000</v>
      </c>
      <c r="P59" s="74">
        <v>4</v>
      </c>
      <c r="Q59" s="113" t="s">
        <v>135</v>
      </c>
    </row>
    <row r="60" spans="1:17" ht="15" customHeight="1">
      <c r="A60" s="34">
        <v>42</v>
      </c>
      <c r="B60" s="34" t="s">
        <v>460</v>
      </c>
      <c r="C60" s="78" t="s">
        <v>136</v>
      </c>
      <c r="D60" s="68" t="s">
        <v>32</v>
      </c>
      <c r="E60" s="68" t="s">
        <v>46</v>
      </c>
      <c r="F60" s="69">
        <v>100</v>
      </c>
      <c r="G60" s="70">
        <f t="shared" si="4"/>
        <v>15000</v>
      </c>
      <c r="H60" s="71">
        <v>150</v>
      </c>
      <c r="I60" s="72" t="s">
        <v>13</v>
      </c>
      <c r="J60" s="73"/>
      <c r="K60" s="73">
        <v>46141</v>
      </c>
      <c r="L60" s="74" t="s">
        <v>34</v>
      </c>
      <c r="M60" s="73">
        <v>46190</v>
      </c>
      <c r="N60" s="73">
        <v>46197</v>
      </c>
      <c r="O60" s="119">
        <f>SUM(Prospects5[[#This Row],[Column5]]*12)</f>
        <v>180000</v>
      </c>
      <c r="P60" s="74">
        <v>5</v>
      </c>
      <c r="Q60" s="251" t="s">
        <v>137</v>
      </c>
    </row>
    <row r="61" spans="1:17" ht="15" customHeight="1">
      <c r="A61" s="34">
        <v>43</v>
      </c>
      <c r="B61" s="34" t="s">
        <v>459</v>
      </c>
      <c r="C61" s="78" t="s">
        <v>138</v>
      </c>
      <c r="D61" s="68" t="s">
        <v>32</v>
      </c>
      <c r="E61" s="68" t="s">
        <v>46</v>
      </c>
      <c r="F61" s="69">
        <v>100</v>
      </c>
      <c r="G61" s="70">
        <f t="shared" si="4"/>
        <v>15000</v>
      </c>
      <c r="H61" s="71">
        <v>150</v>
      </c>
      <c r="I61" s="72" t="s">
        <v>13</v>
      </c>
      <c r="J61" s="73"/>
      <c r="K61" s="73">
        <v>46141</v>
      </c>
      <c r="L61" s="74" t="s">
        <v>34</v>
      </c>
      <c r="M61" s="73">
        <v>46184</v>
      </c>
      <c r="N61" s="73">
        <v>46190</v>
      </c>
      <c r="O61" s="119">
        <f>SUM(Prospects5[[#This Row],[Column5]]*12)</f>
        <v>180000</v>
      </c>
      <c r="P61" s="74">
        <v>4</v>
      </c>
      <c r="Q61" s="113" t="s">
        <v>139</v>
      </c>
    </row>
    <row r="62" spans="1:17" ht="15" customHeight="1">
      <c r="A62" s="34">
        <v>44</v>
      </c>
      <c r="B62" s="34" t="s">
        <v>459</v>
      </c>
      <c r="C62" s="78" t="s">
        <v>140</v>
      </c>
      <c r="D62" s="68" t="s">
        <v>45</v>
      </c>
      <c r="E62" s="68" t="s">
        <v>46</v>
      </c>
      <c r="F62" s="69">
        <v>17</v>
      </c>
      <c r="G62" s="70">
        <f t="shared" si="4"/>
        <v>2550</v>
      </c>
      <c r="H62" s="71">
        <v>150</v>
      </c>
      <c r="I62" s="79" t="s">
        <v>13</v>
      </c>
      <c r="J62" s="73"/>
      <c r="K62" s="73">
        <v>46148</v>
      </c>
      <c r="L62" s="74" t="s">
        <v>34</v>
      </c>
      <c r="M62" s="73">
        <v>46174</v>
      </c>
      <c r="N62" s="73">
        <v>46176</v>
      </c>
      <c r="O62" s="119">
        <f>SUM(Prospects5[[#This Row],[Column5]]*12)</f>
        <v>30600</v>
      </c>
      <c r="P62" s="74">
        <v>3</v>
      </c>
      <c r="Q62" s="113" t="s">
        <v>141</v>
      </c>
    </row>
    <row r="63" spans="1:17" ht="15" customHeight="1">
      <c r="A63" s="34">
        <v>45</v>
      </c>
      <c r="B63" s="34" t="s">
        <v>459</v>
      </c>
      <c r="C63" s="78" t="s">
        <v>142</v>
      </c>
      <c r="D63" s="68" t="s">
        <v>45</v>
      </c>
      <c r="E63" s="68" t="s">
        <v>46</v>
      </c>
      <c r="F63" s="69">
        <v>40</v>
      </c>
      <c r="G63" s="70">
        <f t="shared" si="4"/>
        <v>6000</v>
      </c>
      <c r="H63" s="71">
        <v>150</v>
      </c>
      <c r="I63" s="72" t="s">
        <v>15</v>
      </c>
      <c r="J63" s="73"/>
      <c r="K63" s="73">
        <v>46149</v>
      </c>
      <c r="L63" s="74" t="s">
        <v>34</v>
      </c>
      <c r="M63" s="73">
        <v>46197</v>
      </c>
      <c r="N63" s="73">
        <v>46198</v>
      </c>
      <c r="O63" s="119">
        <f>SUM(Prospects5[[#This Row],[Column5]]*12)</f>
        <v>72000</v>
      </c>
      <c r="P63" s="74">
        <v>6</v>
      </c>
      <c r="Q63" s="113" t="s">
        <v>428</v>
      </c>
    </row>
    <row r="64" spans="1:17" ht="15" customHeight="1">
      <c r="A64" s="34">
        <v>46</v>
      </c>
      <c r="B64" s="34" t="s">
        <v>459</v>
      </c>
      <c r="C64" s="78" t="s">
        <v>143</v>
      </c>
      <c r="D64" s="68" t="s">
        <v>45</v>
      </c>
      <c r="E64" s="68" t="s">
        <v>46</v>
      </c>
      <c r="F64" s="69">
        <v>40</v>
      </c>
      <c r="G64" s="70">
        <f t="shared" si="4"/>
        <v>6000</v>
      </c>
      <c r="H64" s="71">
        <v>150</v>
      </c>
      <c r="I64" s="72" t="s">
        <v>15</v>
      </c>
      <c r="J64" s="73"/>
      <c r="K64" s="73">
        <v>46149</v>
      </c>
      <c r="L64" s="74" t="s">
        <v>34</v>
      </c>
      <c r="M64" s="73">
        <v>46192</v>
      </c>
      <c r="N64" s="73">
        <v>46198</v>
      </c>
      <c r="O64" s="119">
        <f>SUM(Prospects5[[#This Row],[Column5]]*12)</f>
        <v>72000</v>
      </c>
      <c r="P64" s="74">
        <v>6</v>
      </c>
      <c r="Q64" s="113" t="s">
        <v>144</v>
      </c>
    </row>
    <row r="65" spans="1:17" ht="15" customHeight="1">
      <c r="A65" s="34">
        <v>47</v>
      </c>
      <c r="B65" s="34" t="s">
        <v>458</v>
      </c>
      <c r="C65" s="78" t="s">
        <v>147</v>
      </c>
      <c r="D65" s="68" t="s">
        <v>45</v>
      </c>
      <c r="E65" s="68" t="s">
        <v>46</v>
      </c>
      <c r="F65" s="69">
        <v>40</v>
      </c>
      <c r="G65" s="70">
        <f t="shared" si="4"/>
        <v>6000</v>
      </c>
      <c r="H65" s="71">
        <v>150</v>
      </c>
      <c r="I65" s="72" t="s">
        <v>15</v>
      </c>
      <c r="J65" s="73"/>
      <c r="K65" s="73">
        <v>46149</v>
      </c>
      <c r="L65" s="74" t="s">
        <v>34</v>
      </c>
      <c r="M65" s="73">
        <v>46191</v>
      </c>
      <c r="N65" s="73">
        <v>46195</v>
      </c>
      <c r="O65" s="119">
        <f>SUM(Prospects5[[#This Row],[Column5]]*12)</f>
        <v>72000</v>
      </c>
      <c r="P65" s="74">
        <v>5</v>
      </c>
      <c r="Q65" s="113" t="s">
        <v>148</v>
      </c>
    </row>
    <row r="66" spans="1:17" ht="15" customHeight="1">
      <c r="A66" s="34">
        <v>48</v>
      </c>
      <c r="B66" s="34" t="s">
        <v>459</v>
      </c>
      <c r="C66" s="78" t="s">
        <v>149</v>
      </c>
      <c r="D66" s="68" t="s">
        <v>45</v>
      </c>
      <c r="E66" s="68" t="s">
        <v>46</v>
      </c>
      <c r="F66" s="69">
        <v>40</v>
      </c>
      <c r="G66" s="70">
        <f t="shared" si="4"/>
        <v>6000</v>
      </c>
      <c r="H66" s="71">
        <v>150</v>
      </c>
      <c r="I66" s="72" t="s">
        <v>15</v>
      </c>
      <c r="J66" s="73"/>
      <c r="K66" s="73">
        <v>46149</v>
      </c>
      <c r="L66" s="74" t="s">
        <v>34</v>
      </c>
      <c r="M66" s="73">
        <v>46197</v>
      </c>
      <c r="N66" s="73">
        <v>46203</v>
      </c>
      <c r="O66" s="119">
        <f>SUM(Prospects5[[#This Row],[Column5]]*12)</f>
        <v>72000</v>
      </c>
      <c r="P66" s="74">
        <v>6</v>
      </c>
      <c r="Q66" s="113" t="s">
        <v>449</v>
      </c>
    </row>
    <row r="67" spans="1:17" ht="15" customHeight="1">
      <c r="A67" s="34">
        <v>49</v>
      </c>
      <c r="B67" s="34" t="s">
        <v>459</v>
      </c>
      <c r="C67" s="78" t="s">
        <v>152</v>
      </c>
      <c r="D67" s="68" t="s">
        <v>45</v>
      </c>
      <c r="E67" s="68" t="s">
        <v>46</v>
      </c>
      <c r="F67" s="69">
        <v>40</v>
      </c>
      <c r="G67" s="70">
        <f t="shared" si="4"/>
        <v>6000</v>
      </c>
      <c r="H67" s="71">
        <v>150</v>
      </c>
      <c r="I67" s="72" t="s">
        <v>13</v>
      </c>
      <c r="J67" s="73"/>
      <c r="K67" s="73">
        <v>46149</v>
      </c>
      <c r="L67" s="74" t="s">
        <v>34</v>
      </c>
      <c r="M67" s="73">
        <v>46176</v>
      </c>
      <c r="N67" s="73">
        <v>46177</v>
      </c>
      <c r="O67" s="119">
        <f>SUM(Prospects5[[#This Row],[Column5]]*12)</f>
        <v>72000</v>
      </c>
      <c r="P67" s="74">
        <v>4</v>
      </c>
      <c r="Q67" s="113" t="s">
        <v>153</v>
      </c>
    </row>
    <row r="68" spans="1:17" ht="15" customHeight="1">
      <c r="A68" s="34">
        <v>50</v>
      </c>
      <c r="B68" s="34" t="s">
        <v>459</v>
      </c>
      <c r="C68" s="78" t="s">
        <v>154</v>
      </c>
      <c r="D68" s="68" t="s">
        <v>45</v>
      </c>
      <c r="E68" s="68" t="s">
        <v>46</v>
      </c>
      <c r="F68" s="69">
        <v>40</v>
      </c>
      <c r="G68" s="70">
        <f t="shared" si="4"/>
        <v>6000</v>
      </c>
      <c r="H68" s="71">
        <v>150</v>
      </c>
      <c r="I68" s="72" t="s">
        <v>15</v>
      </c>
      <c r="J68" s="73"/>
      <c r="K68" s="73">
        <v>46149</v>
      </c>
      <c r="L68" s="74" t="s">
        <v>34</v>
      </c>
      <c r="M68" s="73">
        <v>46197</v>
      </c>
      <c r="N68" s="73">
        <v>46203</v>
      </c>
      <c r="O68" s="119">
        <f>SUM(Prospects5[[#This Row],[Column5]]*12)</f>
        <v>72000</v>
      </c>
      <c r="P68" s="74">
        <v>6</v>
      </c>
      <c r="Q68" s="113" t="s">
        <v>155</v>
      </c>
    </row>
    <row r="69" spans="1:17" ht="15" customHeight="1">
      <c r="A69" s="34">
        <v>51</v>
      </c>
      <c r="B69" s="34" t="s">
        <v>460</v>
      </c>
      <c r="C69" s="78" t="s">
        <v>156</v>
      </c>
      <c r="D69" s="68" t="s">
        <v>45</v>
      </c>
      <c r="E69" s="68" t="s">
        <v>46</v>
      </c>
      <c r="F69" s="69">
        <v>39</v>
      </c>
      <c r="G69" s="70">
        <f t="shared" si="4"/>
        <v>5850</v>
      </c>
      <c r="H69" s="71">
        <v>150</v>
      </c>
      <c r="I69" s="72" t="s">
        <v>15</v>
      </c>
      <c r="J69" s="73"/>
      <c r="K69" s="73">
        <v>46149</v>
      </c>
      <c r="L69" s="74" t="s">
        <v>34</v>
      </c>
      <c r="M69" s="73">
        <v>46184</v>
      </c>
      <c r="N69" s="73">
        <v>46190</v>
      </c>
      <c r="O69" s="119">
        <f>SUM(Prospects5[[#This Row],[Column5]]*12)</f>
        <v>70200</v>
      </c>
      <c r="P69" s="74">
        <v>4</v>
      </c>
      <c r="Q69" s="113" t="s">
        <v>157</v>
      </c>
    </row>
    <row r="70" spans="1:17" ht="15" customHeight="1">
      <c r="A70" s="34">
        <v>52</v>
      </c>
      <c r="B70" s="34" t="s">
        <v>459</v>
      </c>
      <c r="C70" s="78" t="s">
        <v>158</v>
      </c>
      <c r="D70" s="68" t="s">
        <v>45</v>
      </c>
      <c r="E70" s="68" t="s">
        <v>46</v>
      </c>
      <c r="F70" s="69">
        <v>39</v>
      </c>
      <c r="G70" s="70">
        <f t="shared" si="4"/>
        <v>5850</v>
      </c>
      <c r="H70" s="71">
        <v>150</v>
      </c>
      <c r="I70" s="72" t="s">
        <v>13</v>
      </c>
      <c r="J70" s="73"/>
      <c r="K70" s="73">
        <v>46149</v>
      </c>
      <c r="L70" s="74" t="s">
        <v>34</v>
      </c>
      <c r="M70" s="73">
        <v>46190</v>
      </c>
      <c r="N70" s="73">
        <v>46218</v>
      </c>
      <c r="O70" s="119">
        <f>SUM(Prospects5[[#This Row],[Column5]]*12)</f>
        <v>70200</v>
      </c>
      <c r="P70" s="74">
        <v>6</v>
      </c>
      <c r="Q70" s="113" t="s">
        <v>159</v>
      </c>
    </row>
    <row r="71" spans="1:17" ht="15" customHeight="1">
      <c r="A71" s="34">
        <v>53</v>
      </c>
      <c r="B71" s="34" t="s">
        <v>458</v>
      </c>
      <c r="C71" s="78" t="s">
        <v>160</v>
      </c>
      <c r="D71" s="68" t="s">
        <v>45</v>
      </c>
      <c r="E71" s="68" t="s">
        <v>46</v>
      </c>
      <c r="F71" s="69">
        <v>39</v>
      </c>
      <c r="G71" s="70">
        <f t="shared" si="4"/>
        <v>5850</v>
      </c>
      <c r="H71" s="71">
        <v>150</v>
      </c>
      <c r="I71" s="72" t="s">
        <v>15</v>
      </c>
      <c r="J71" s="73"/>
      <c r="K71" s="73">
        <v>46149</v>
      </c>
      <c r="L71" s="74" t="s">
        <v>34</v>
      </c>
      <c r="M71" s="73">
        <v>46197</v>
      </c>
      <c r="N71" s="73">
        <v>46203</v>
      </c>
      <c r="O71" s="119">
        <f>SUM(Prospects5[[#This Row],[Column5]]*12)</f>
        <v>70200</v>
      </c>
      <c r="P71" s="74">
        <v>5</v>
      </c>
      <c r="Q71" s="113" t="s">
        <v>447</v>
      </c>
    </row>
    <row r="72" spans="1:17" ht="15" customHeight="1">
      <c r="A72" s="34">
        <v>54</v>
      </c>
      <c r="B72" s="34" t="s">
        <v>458</v>
      </c>
      <c r="C72" s="78" t="s">
        <v>161</v>
      </c>
      <c r="D72" s="68" t="s">
        <v>45</v>
      </c>
      <c r="E72" s="68" t="s">
        <v>46</v>
      </c>
      <c r="F72" s="69">
        <v>39</v>
      </c>
      <c r="G72" s="70">
        <f t="shared" ref="G72:G93" si="5">SUM(H72*F72)</f>
        <v>5850</v>
      </c>
      <c r="H72" s="71">
        <v>150</v>
      </c>
      <c r="I72" s="72" t="s">
        <v>15</v>
      </c>
      <c r="J72" s="73"/>
      <c r="K72" s="73">
        <v>46149</v>
      </c>
      <c r="L72" s="74" t="s">
        <v>34</v>
      </c>
      <c r="M72" s="73">
        <v>46190</v>
      </c>
      <c r="N72" s="73">
        <v>46192</v>
      </c>
      <c r="O72" s="119">
        <f>SUM(Prospects5[[#This Row],[Column5]]*12)</f>
        <v>70200</v>
      </c>
      <c r="P72" s="74">
        <v>5</v>
      </c>
      <c r="Q72" s="113" t="s">
        <v>162</v>
      </c>
    </row>
    <row r="73" spans="1:17" ht="15" customHeight="1">
      <c r="A73" s="34">
        <v>55</v>
      </c>
      <c r="B73" s="34" t="s">
        <v>459</v>
      </c>
      <c r="C73" s="78" t="s">
        <v>163</v>
      </c>
      <c r="D73" s="68" t="s">
        <v>45</v>
      </c>
      <c r="E73" s="68" t="s">
        <v>46</v>
      </c>
      <c r="F73" s="69">
        <v>39</v>
      </c>
      <c r="G73" s="70">
        <f t="shared" si="5"/>
        <v>5850</v>
      </c>
      <c r="H73" s="71">
        <v>150</v>
      </c>
      <c r="I73" s="72" t="s">
        <v>15</v>
      </c>
      <c r="J73" s="73"/>
      <c r="K73" s="73">
        <v>46149</v>
      </c>
      <c r="L73" s="74" t="s">
        <v>34</v>
      </c>
      <c r="M73" s="73">
        <v>46197</v>
      </c>
      <c r="N73" s="73">
        <v>46203</v>
      </c>
      <c r="O73" s="119">
        <f>SUM(Prospects5[[#This Row],[Column5]]*12)</f>
        <v>70200</v>
      </c>
      <c r="P73" s="74">
        <v>7</v>
      </c>
      <c r="Q73" s="113" t="s">
        <v>439</v>
      </c>
    </row>
    <row r="74" spans="1:17" ht="15" customHeight="1">
      <c r="A74" s="34">
        <v>56</v>
      </c>
      <c r="B74" s="34" t="s">
        <v>459</v>
      </c>
      <c r="C74" s="78" t="s">
        <v>164</v>
      </c>
      <c r="D74" s="68" t="s">
        <v>45</v>
      </c>
      <c r="E74" s="68" t="s">
        <v>46</v>
      </c>
      <c r="F74" s="69">
        <v>39</v>
      </c>
      <c r="G74" s="70">
        <f t="shared" si="5"/>
        <v>5850</v>
      </c>
      <c r="H74" s="71">
        <v>150</v>
      </c>
      <c r="I74" s="72" t="s">
        <v>13</v>
      </c>
      <c r="J74" s="73"/>
      <c r="K74" s="73">
        <v>46149</v>
      </c>
      <c r="L74" s="74" t="s">
        <v>34</v>
      </c>
      <c r="M74" s="73">
        <v>46176</v>
      </c>
      <c r="N74" s="73">
        <v>46184</v>
      </c>
      <c r="O74" s="119">
        <f>SUM(Prospects5[[#This Row],[Column5]]*12)</f>
        <v>70200</v>
      </c>
      <c r="P74" s="74">
        <v>5</v>
      </c>
      <c r="Q74" s="113" t="s">
        <v>165</v>
      </c>
    </row>
    <row r="75" spans="1:17" ht="15" customHeight="1">
      <c r="A75" s="34">
        <v>57</v>
      </c>
      <c r="B75" s="34" t="s">
        <v>460</v>
      </c>
      <c r="C75" s="78" t="s">
        <v>166</v>
      </c>
      <c r="D75" s="68" t="s">
        <v>45</v>
      </c>
      <c r="E75" s="68" t="s">
        <v>46</v>
      </c>
      <c r="F75" s="69">
        <v>39</v>
      </c>
      <c r="G75" s="70">
        <f t="shared" si="5"/>
        <v>5850</v>
      </c>
      <c r="H75" s="71">
        <v>150</v>
      </c>
      <c r="I75" s="72" t="s">
        <v>13</v>
      </c>
      <c r="J75" s="73"/>
      <c r="K75" s="73">
        <v>46149</v>
      </c>
      <c r="L75" s="74" t="s">
        <v>34</v>
      </c>
      <c r="M75" s="73">
        <v>46177</v>
      </c>
      <c r="N75" s="73">
        <v>46210</v>
      </c>
      <c r="O75" s="119">
        <f>SUM(Prospects5[[#This Row],[Column5]]*12)</f>
        <v>70200</v>
      </c>
      <c r="P75" s="74">
        <v>4</v>
      </c>
      <c r="Q75" s="113" t="s">
        <v>167</v>
      </c>
    </row>
    <row r="76" spans="1:17" ht="15" customHeight="1">
      <c r="A76" s="34">
        <v>58</v>
      </c>
      <c r="B76" s="34" t="s">
        <v>459</v>
      </c>
      <c r="C76" s="78" t="s">
        <v>168</v>
      </c>
      <c r="D76" s="68" t="s">
        <v>45</v>
      </c>
      <c r="E76" s="68" t="s">
        <v>46</v>
      </c>
      <c r="F76" s="69">
        <v>38</v>
      </c>
      <c r="G76" s="70">
        <f t="shared" si="5"/>
        <v>5700</v>
      </c>
      <c r="H76" s="71">
        <v>150</v>
      </c>
      <c r="I76" s="72" t="s">
        <v>15</v>
      </c>
      <c r="J76" s="73"/>
      <c r="K76" s="73">
        <v>46149</v>
      </c>
      <c r="L76" s="74" t="s">
        <v>34</v>
      </c>
      <c r="M76" s="73">
        <v>46184</v>
      </c>
      <c r="N76" s="73">
        <v>46191</v>
      </c>
      <c r="O76" s="119">
        <f>SUM(Prospects5[[#This Row],[Column5]]*12)</f>
        <v>68400</v>
      </c>
      <c r="P76" s="74">
        <v>3</v>
      </c>
      <c r="Q76" s="113" t="s">
        <v>169</v>
      </c>
    </row>
    <row r="77" spans="1:17" ht="15" customHeight="1">
      <c r="A77" s="34">
        <v>59</v>
      </c>
      <c r="B77" s="34" t="s">
        <v>459</v>
      </c>
      <c r="C77" s="78" t="s">
        <v>170</v>
      </c>
      <c r="D77" s="68" t="s">
        <v>45</v>
      </c>
      <c r="E77" s="68" t="s">
        <v>46</v>
      </c>
      <c r="F77" s="69">
        <v>38</v>
      </c>
      <c r="G77" s="70">
        <f t="shared" si="5"/>
        <v>5700</v>
      </c>
      <c r="H77" s="71">
        <v>150</v>
      </c>
      <c r="I77" s="72" t="s">
        <v>15</v>
      </c>
      <c r="J77" s="73"/>
      <c r="K77" s="73">
        <v>46149</v>
      </c>
      <c r="L77" s="74" t="s">
        <v>34</v>
      </c>
      <c r="M77" s="73">
        <v>46190</v>
      </c>
      <c r="N77" s="73">
        <v>46197</v>
      </c>
      <c r="O77" s="119">
        <f>SUM(Prospects5[[#This Row],[Column5]]*12)</f>
        <v>68400</v>
      </c>
      <c r="P77" s="74">
        <v>4</v>
      </c>
      <c r="Q77" s="113" t="s">
        <v>171</v>
      </c>
    </row>
    <row r="78" spans="1:17" s="172" customFormat="1" ht="15" customHeight="1">
      <c r="A78" s="34">
        <v>60</v>
      </c>
      <c r="B78" s="34" t="s">
        <v>460</v>
      </c>
      <c r="C78" s="173" t="s">
        <v>172</v>
      </c>
      <c r="D78" s="68" t="s">
        <v>45</v>
      </c>
      <c r="E78" s="68" t="s">
        <v>46</v>
      </c>
      <c r="F78" s="174">
        <v>54</v>
      </c>
      <c r="G78" s="70">
        <f t="shared" si="5"/>
        <v>8100</v>
      </c>
      <c r="H78" s="71">
        <v>150</v>
      </c>
      <c r="I78" s="72" t="s">
        <v>1</v>
      </c>
      <c r="J78" s="73"/>
      <c r="K78" s="73">
        <v>46160</v>
      </c>
      <c r="L78" s="74" t="s">
        <v>34</v>
      </c>
      <c r="M78" s="73">
        <v>46174</v>
      </c>
      <c r="N78" s="73">
        <v>46146</v>
      </c>
      <c r="O78" s="119">
        <f>SUM(Prospects5[[#This Row],[Column5]]*12)</f>
        <v>97200</v>
      </c>
      <c r="P78" s="74">
        <v>2</v>
      </c>
      <c r="Q78" s="113" t="s">
        <v>173</v>
      </c>
    </row>
    <row r="79" spans="1:17" s="172" customFormat="1" ht="15" customHeight="1">
      <c r="A79" s="34">
        <v>61</v>
      </c>
      <c r="B79" s="34" t="s">
        <v>458</v>
      </c>
      <c r="C79" s="173" t="s">
        <v>174</v>
      </c>
      <c r="D79" s="68" t="s">
        <v>45</v>
      </c>
      <c r="E79" s="68" t="s">
        <v>46</v>
      </c>
      <c r="F79" s="174">
        <v>54</v>
      </c>
      <c r="G79" s="70">
        <f t="shared" si="5"/>
        <v>8100</v>
      </c>
      <c r="H79" s="71">
        <v>150</v>
      </c>
      <c r="I79" s="72" t="s">
        <v>1</v>
      </c>
      <c r="J79" s="73"/>
      <c r="K79" s="73">
        <v>46160</v>
      </c>
      <c r="L79" s="74" t="s">
        <v>34</v>
      </c>
      <c r="M79" s="73">
        <v>46177</v>
      </c>
      <c r="N79" s="73">
        <v>46371</v>
      </c>
      <c r="O79" s="119">
        <f>SUM(Prospects5[[#This Row],[Column5]]*12)</f>
        <v>97200</v>
      </c>
      <c r="P79" s="74">
        <v>4</v>
      </c>
      <c r="Q79" s="113" t="s">
        <v>175</v>
      </c>
    </row>
    <row r="80" spans="1:17" s="172" customFormat="1" ht="15" customHeight="1">
      <c r="A80" s="34">
        <v>62</v>
      </c>
      <c r="B80" s="34" t="s">
        <v>460</v>
      </c>
      <c r="C80" s="173" t="s">
        <v>176</v>
      </c>
      <c r="D80" s="68" t="s">
        <v>45</v>
      </c>
      <c r="E80" s="68" t="s">
        <v>46</v>
      </c>
      <c r="F80" s="174">
        <v>54</v>
      </c>
      <c r="G80" s="70">
        <f t="shared" si="5"/>
        <v>8100</v>
      </c>
      <c r="H80" s="71">
        <v>150</v>
      </c>
      <c r="I80" s="72" t="s">
        <v>13</v>
      </c>
      <c r="J80" s="73"/>
      <c r="K80" s="73">
        <v>46160</v>
      </c>
      <c r="L80" s="74" t="s">
        <v>34</v>
      </c>
      <c r="M80" s="73">
        <v>46184</v>
      </c>
      <c r="N80" s="73">
        <v>46197</v>
      </c>
      <c r="O80" s="119">
        <f>SUM(Prospects5[[#This Row],[Column5]]*12)</f>
        <v>97200</v>
      </c>
      <c r="P80" s="74">
        <v>3</v>
      </c>
      <c r="Q80" s="113" t="s">
        <v>177</v>
      </c>
    </row>
    <row r="81" spans="1:17" s="172" customFormat="1" ht="15" customHeight="1">
      <c r="A81" s="34">
        <v>63</v>
      </c>
      <c r="B81" s="34" t="s">
        <v>460</v>
      </c>
      <c r="C81" s="173" t="s">
        <v>178</v>
      </c>
      <c r="D81" s="68" t="s">
        <v>45</v>
      </c>
      <c r="E81" s="68" t="s">
        <v>46</v>
      </c>
      <c r="F81" s="174">
        <v>52</v>
      </c>
      <c r="G81" s="70">
        <f t="shared" si="5"/>
        <v>7800</v>
      </c>
      <c r="H81" s="71">
        <v>150</v>
      </c>
      <c r="I81" s="72" t="s">
        <v>15</v>
      </c>
      <c r="J81" s="73"/>
      <c r="K81" s="73">
        <v>46160</v>
      </c>
      <c r="L81" s="74" t="s">
        <v>34</v>
      </c>
      <c r="M81" s="73">
        <v>46184</v>
      </c>
      <c r="N81" s="73">
        <v>46190</v>
      </c>
      <c r="O81" s="119">
        <f>SUM(Prospects5[[#This Row],[Column5]]*12)</f>
        <v>93600</v>
      </c>
      <c r="P81" s="74">
        <v>3</v>
      </c>
      <c r="Q81" s="113" t="s">
        <v>179</v>
      </c>
    </row>
    <row r="82" spans="1:17" s="172" customFormat="1" ht="15" customHeight="1">
      <c r="A82" s="34">
        <v>64</v>
      </c>
      <c r="B82" s="34" t="s">
        <v>460</v>
      </c>
      <c r="C82" s="173" t="s">
        <v>180</v>
      </c>
      <c r="D82" s="68" t="s">
        <v>45</v>
      </c>
      <c r="E82" s="68" t="s">
        <v>46</v>
      </c>
      <c r="F82" s="174">
        <v>52</v>
      </c>
      <c r="G82" s="70">
        <f t="shared" si="5"/>
        <v>7800</v>
      </c>
      <c r="H82" s="71">
        <v>150</v>
      </c>
      <c r="I82" s="72" t="s">
        <v>1</v>
      </c>
      <c r="J82" s="73"/>
      <c r="K82" s="73">
        <v>46160</v>
      </c>
      <c r="L82" s="74" t="s">
        <v>34</v>
      </c>
      <c r="M82" s="73">
        <v>46191</v>
      </c>
      <c r="N82" s="73">
        <v>46461</v>
      </c>
      <c r="O82" s="119">
        <f>SUM(Prospects5[[#This Row],[Column5]]*12)</f>
        <v>93600</v>
      </c>
      <c r="P82" s="74">
        <v>5</v>
      </c>
      <c r="Q82" s="113" t="s">
        <v>181</v>
      </c>
    </row>
    <row r="83" spans="1:17" s="172" customFormat="1" ht="15" customHeight="1">
      <c r="A83" s="34">
        <v>65</v>
      </c>
      <c r="B83" s="34" t="s">
        <v>460</v>
      </c>
      <c r="C83" s="173" t="s">
        <v>182</v>
      </c>
      <c r="D83" s="68" t="s">
        <v>45</v>
      </c>
      <c r="E83" s="68" t="s">
        <v>46</v>
      </c>
      <c r="F83" s="174">
        <v>52</v>
      </c>
      <c r="G83" s="70">
        <f t="shared" si="5"/>
        <v>7800</v>
      </c>
      <c r="H83" s="71">
        <v>150</v>
      </c>
      <c r="I83" s="72" t="s">
        <v>13</v>
      </c>
      <c r="J83" s="73"/>
      <c r="K83" s="73">
        <v>46160</v>
      </c>
      <c r="L83" s="74" t="s">
        <v>34</v>
      </c>
      <c r="M83" s="73">
        <v>46190</v>
      </c>
      <c r="N83" s="73">
        <v>46197</v>
      </c>
      <c r="O83" s="119">
        <f>SUM(Prospects5[[#This Row],[Column5]]*12)</f>
        <v>93600</v>
      </c>
      <c r="P83" s="74">
        <v>4</v>
      </c>
      <c r="Q83" s="113" t="s">
        <v>183</v>
      </c>
    </row>
    <row r="84" spans="1:17" s="172" customFormat="1" ht="15" customHeight="1">
      <c r="A84" s="34">
        <v>66</v>
      </c>
      <c r="B84" s="34" t="s">
        <v>460</v>
      </c>
      <c r="C84" s="173" t="s">
        <v>184</v>
      </c>
      <c r="D84" s="68" t="s">
        <v>45</v>
      </c>
      <c r="E84" s="68" t="s">
        <v>46</v>
      </c>
      <c r="F84" s="174">
        <v>51</v>
      </c>
      <c r="G84" s="70">
        <f t="shared" si="5"/>
        <v>7650</v>
      </c>
      <c r="H84" s="71">
        <v>150</v>
      </c>
      <c r="I84" s="72" t="s">
        <v>13</v>
      </c>
      <c r="J84" s="73"/>
      <c r="K84" s="73">
        <v>46160</v>
      </c>
      <c r="L84" s="74" t="s">
        <v>34</v>
      </c>
      <c r="M84" s="73">
        <v>46184</v>
      </c>
      <c r="N84" s="73">
        <v>46197</v>
      </c>
      <c r="O84" s="119">
        <f>SUM(Prospects5[[#This Row],[Column5]]*12)</f>
        <v>91800</v>
      </c>
      <c r="P84" s="74">
        <v>4</v>
      </c>
      <c r="Q84" s="113" t="s">
        <v>185</v>
      </c>
    </row>
    <row r="85" spans="1:17" s="172" customFormat="1" ht="15" customHeight="1">
      <c r="A85" s="34">
        <v>67</v>
      </c>
      <c r="B85" s="34" t="s">
        <v>460</v>
      </c>
      <c r="C85" s="173" t="s">
        <v>186</v>
      </c>
      <c r="D85" s="68" t="s">
        <v>45</v>
      </c>
      <c r="E85" s="68" t="s">
        <v>46</v>
      </c>
      <c r="F85" s="174">
        <v>51</v>
      </c>
      <c r="G85" s="70">
        <f t="shared" si="5"/>
        <v>7650</v>
      </c>
      <c r="H85" s="71">
        <v>150</v>
      </c>
      <c r="I85" s="72" t="s">
        <v>13</v>
      </c>
      <c r="J85" s="73"/>
      <c r="K85" s="73">
        <v>46160</v>
      </c>
      <c r="L85" s="74" t="s">
        <v>34</v>
      </c>
      <c r="M85" s="73">
        <v>46184</v>
      </c>
      <c r="N85" s="73">
        <v>46197</v>
      </c>
      <c r="O85" s="119">
        <f>SUM(Prospects5[[#This Row],[Column5]]*12)</f>
        <v>91800</v>
      </c>
      <c r="P85" s="74">
        <v>3</v>
      </c>
      <c r="Q85" s="113" t="s">
        <v>187</v>
      </c>
    </row>
    <row r="86" spans="1:17" s="172" customFormat="1" ht="15" customHeight="1">
      <c r="A86" s="34">
        <v>68</v>
      </c>
      <c r="B86" s="34" t="s">
        <v>460</v>
      </c>
      <c r="C86" s="173" t="s">
        <v>188</v>
      </c>
      <c r="D86" s="68" t="s">
        <v>45</v>
      </c>
      <c r="E86" s="68" t="s">
        <v>46</v>
      </c>
      <c r="F86" s="174">
        <v>54</v>
      </c>
      <c r="G86" s="70">
        <f t="shared" si="5"/>
        <v>8100</v>
      </c>
      <c r="H86" s="71">
        <v>150</v>
      </c>
      <c r="I86" s="72" t="s">
        <v>13</v>
      </c>
      <c r="J86" s="73"/>
      <c r="K86" s="73">
        <v>46160</v>
      </c>
      <c r="L86" s="74" t="s">
        <v>34</v>
      </c>
      <c r="M86" s="73">
        <v>46189</v>
      </c>
      <c r="N86" s="73">
        <v>46210</v>
      </c>
      <c r="O86" s="119">
        <f>SUM(Prospects5[[#This Row],[Column5]]*12)</f>
        <v>97200</v>
      </c>
      <c r="P86" s="74">
        <v>3</v>
      </c>
      <c r="Q86" s="113" t="s">
        <v>189</v>
      </c>
    </row>
    <row r="87" spans="1:17" s="172" customFormat="1" ht="15" customHeight="1">
      <c r="A87" s="34">
        <v>69</v>
      </c>
      <c r="B87" s="34" t="s">
        <v>460</v>
      </c>
      <c r="C87" s="173" t="s">
        <v>190</v>
      </c>
      <c r="D87" s="68" t="s">
        <v>45</v>
      </c>
      <c r="E87" s="68" t="s">
        <v>46</v>
      </c>
      <c r="F87" s="174">
        <v>50</v>
      </c>
      <c r="G87" s="70">
        <f t="shared" si="5"/>
        <v>7500</v>
      </c>
      <c r="H87" s="71">
        <v>150</v>
      </c>
      <c r="I87" s="72" t="s">
        <v>13</v>
      </c>
      <c r="J87" s="73"/>
      <c r="K87" s="73">
        <v>46160</v>
      </c>
      <c r="L87" s="74" t="s">
        <v>34</v>
      </c>
      <c r="M87" s="73">
        <v>46191</v>
      </c>
      <c r="N87" s="73">
        <v>46195</v>
      </c>
      <c r="O87" s="119">
        <f>SUM(Prospects5[[#This Row],[Column5]]*12)</f>
        <v>90000</v>
      </c>
      <c r="P87" s="74">
        <v>4</v>
      </c>
      <c r="Q87" s="113" t="s">
        <v>191</v>
      </c>
    </row>
    <row r="88" spans="1:17" s="172" customFormat="1" ht="15" customHeight="1">
      <c r="A88" s="34">
        <v>70</v>
      </c>
      <c r="B88" s="34" t="s">
        <v>460</v>
      </c>
      <c r="C88" s="173" t="s">
        <v>192</v>
      </c>
      <c r="D88" s="68" t="s">
        <v>45</v>
      </c>
      <c r="E88" s="68" t="s">
        <v>46</v>
      </c>
      <c r="F88" s="174">
        <v>50</v>
      </c>
      <c r="G88" s="70">
        <f t="shared" si="5"/>
        <v>7500</v>
      </c>
      <c r="H88" s="71">
        <v>150</v>
      </c>
      <c r="I88" s="72" t="s">
        <v>1</v>
      </c>
      <c r="J88" s="73"/>
      <c r="K88" s="73">
        <v>46160</v>
      </c>
      <c r="L88" s="74" t="s">
        <v>34</v>
      </c>
      <c r="M88" s="73">
        <v>46175</v>
      </c>
      <c r="N88" s="73">
        <v>46217</v>
      </c>
      <c r="O88" s="119">
        <f>SUM(Prospects5[[#This Row],[Column5]]*12)</f>
        <v>90000</v>
      </c>
      <c r="P88" s="74">
        <v>3</v>
      </c>
      <c r="Q88" s="113" t="s">
        <v>193</v>
      </c>
    </row>
    <row r="89" spans="1:17" s="172" customFormat="1" ht="15" customHeight="1">
      <c r="A89" s="34">
        <v>71</v>
      </c>
      <c r="B89" s="34" t="s">
        <v>460</v>
      </c>
      <c r="C89" s="173" t="s">
        <v>194</v>
      </c>
      <c r="D89" s="68" t="s">
        <v>45</v>
      </c>
      <c r="E89" s="68" t="s">
        <v>46</v>
      </c>
      <c r="F89" s="174">
        <v>50</v>
      </c>
      <c r="G89" s="70">
        <f t="shared" si="5"/>
        <v>7500</v>
      </c>
      <c r="H89" s="71">
        <v>150</v>
      </c>
      <c r="I89" s="72" t="s">
        <v>13</v>
      </c>
      <c r="J89" s="73"/>
      <c r="K89" s="73">
        <v>46160</v>
      </c>
      <c r="L89" s="74" t="s">
        <v>34</v>
      </c>
      <c r="M89" s="73">
        <v>46191</v>
      </c>
      <c r="N89" s="73">
        <v>46198</v>
      </c>
      <c r="O89" s="119">
        <f>SUM(Prospects5[[#This Row],[Column5]]*12)</f>
        <v>90000</v>
      </c>
      <c r="P89" s="74">
        <v>4</v>
      </c>
      <c r="Q89" s="113" t="s">
        <v>195</v>
      </c>
    </row>
    <row r="90" spans="1:17" s="172" customFormat="1" ht="15" customHeight="1">
      <c r="A90" s="34">
        <v>72</v>
      </c>
      <c r="B90" s="34" t="s">
        <v>460</v>
      </c>
      <c r="C90" s="173" t="s">
        <v>196</v>
      </c>
      <c r="D90" s="68" t="s">
        <v>45</v>
      </c>
      <c r="E90" s="68" t="s">
        <v>46</v>
      </c>
      <c r="F90" s="174">
        <v>50</v>
      </c>
      <c r="G90" s="70">
        <f t="shared" si="5"/>
        <v>7500</v>
      </c>
      <c r="H90" s="71">
        <v>150</v>
      </c>
      <c r="I90" s="72" t="s">
        <v>15</v>
      </c>
      <c r="J90" s="73"/>
      <c r="K90" s="73">
        <v>46160</v>
      </c>
      <c r="L90" s="74" t="s">
        <v>34</v>
      </c>
      <c r="M90" s="73">
        <v>46191</v>
      </c>
      <c r="N90" s="73">
        <v>46195</v>
      </c>
      <c r="O90" s="119">
        <f>SUM(Prospects5[[#This Row],[Column5]]*12)</f>
        <v>90000</v>
      </c>
      <c r="P90" s="74">
        <v>4</v>
      </c>
      <c r="Q90" s="113" t="s">
        <v>197</v>
      </c>
    </row>
    <row r="91" spans="1:17" s="172" customFormat="1" ht="15" customHeight="1">
      <c r="A91" s="34">
        <v>73</v>
      </c>
      <c r="B91" s="34" t="s">
        <v>460</v>
      </c>
      <c r="C91" s="173" t="s">
        <v>198</v>
      </c>
      <c r="D91" s="68" t="s">
        <v>45</v>
      </c>
      <c r="E91" s="68" t="s">
        <v>46</v>
      </c>
      <c r="F91" s="174">
        <v>50</v>
      </c>
      <c r="G91" s="70">
        <f t="shared" si="5"/>
        <v>7500</v>
      </c>
      <c r="H91" s="71">
        <v>150</v>
      </c>
      <c r="I91" s="72" t="s">
        <v>13</v>
      </c>
      <c r="J91" s="73"/>
      <c r="K91" s="73">
        <v>46160</v>
      </c>
      <c r="L91" s="74" t="s">
        <v>34</v>
      </c>
      <c r="M91" s="73">
        <v>46190</v>
      </c>
      <c r="N91" s="73">
        <v>46197</v>
      </c>
      <c r="O91" s="119">
        <f>SUM(Prospects5[[#This Row],[Column5]]*12)</f>
        <v>90000</v>
      </c>
      <c r="P91" s="74">
        <v>4</v>
      </c>
      <c r="Q91" s="113" t="s">
        <v>199</v>
      </c>
    </row>
    <row r="92" spans="1:17" s="172" customFormat="1" ht="15" customHeight="1">
      <c r="A92" s="34">
        <v>74</v>
      </c>
      <c r="B92" s="34" t="s">
        <v>460</v>
      </c>
      <c r="C92" s="173" t="s">
        <v>200</v>
      </c>
      <c r="D92" s="68" t="s">
        <v>45</v>
      </c>
      <c r="E92" s="68" t="s">
        <v>46</v>
      </c>
      <c r="F92" s="174">
        <v>50</v>
      </c>
      <c r="G92" s="70">
        <f t="shared" si="5"/>
        <v>7500</v>
      </c>
      <c r="H92" s="71">
        <v>150</v>
      </c>
      <c r="I92" s="72" t="s">
        <v>15</v>
      </c>
      <c r="J92" s="73"/>
      <c r="K92" s="73">
        <v>46160</v>
      </c>
      <c r="L92" s="74" t="s">
        <v>34</v>
      </c>
      <c r="M92" s="73">
        <v>46189</v>
      </c>
      <c r="N92" s="73">
        <v>46191</v>
      </c>
      <c r="O92" s="119">
        <f>SUM(Prospects5[[#This Row],[Column5]]*12)</f>
        <v>90000</v>
      </c>
      <c r="P92" s="74">
        <v>4</v>
      </c>
      <c r="Q92" s="113" t="s">
        <v>201</v>
      </c>
    </row>
    <row r="93" spans="1:17" s="172" customFormat="1" ht="15" customHeight="1">
      <c r="A93" s="34">
        <v>75</v>
      </c>
      <c r="B93" s="34" t="s">
        <v>460</v>
      </c>
      <c r="C93" s="173" t="s">
        <v>202</v>
      </c>
      <c r="D93" s="68" t="s">
        <v>45</v>
      </c>
      <c r="E93" s="68" t="s">
        <v>46</v>
      </c>
      <c r="F93" s="174">
        <v>49</v>
      </c>
      <c r="G93" s="70">
        <f t="shared" si="5"/>
        <v>7350</v>
      </c>
      <c r="H93" s="71">
        <v>150</v>
      </c>
      <c r="I93" s="72" t="s">
        <v>13</v>
      </c>
      <c r="J93" s="73"/>
      <c r="K93" s="73">
        <v>46160</v>
      </c>
      <c r="L93" s="74" t="s">
        <v>34</v>
      </c>
      <c r="M93" s="73">
        <v>46197</v>
      </c>
      <c r="N93" s="73">
        <v>46203</v>
      </c>
      <c r="O93" s="119">
        <f>SUM(Prospects5[[#This Row],[Column5]]*12)</f>
        <v>88200</v>
      </c>
      <c r="P93" s="74">
        <v>5</v>
      </c>
      <c r="Q93" s="113" t="s">
        <v>435</v>
      </c>
    </row>
    <row r="94" spans="1:17" s="172" customFormat="1" ht="15" customHeight="1">
      <c r="A94" s="34">
        <v>76</v>
      </c>
      <c r="B94" s="34" t="s">
        <v>460</v>
      </c>
      <c r="C94" s="173" t="s">
        <v>203</v>
      </c>
      <c r="D94" s="68" t="s">
        <v>45</v>
      </c>
      <c r="E94" s="68" t="s">
        <v>46</v>
      </c>
      <c r="F94" s="174">
        <v>48</v>
      </c>
      <c r="G94" s="70">
        <f t="shared" ref="G94:G140" si="6">SUM(H94*F94)</f>
        <v>7200</v>
      </c>
      <c r="H94" s="71">
        <v>150</v>
      </c>
      <c r="I94" s="72" t="s">
        <v>1</v>
      </c>
      <c r="J94" s="73"/>
      <c r="K94" s="73">
        <v>46160</v>
      </c>
      <c r="L94" s="74" t="s">
        <v>34</v>
      </c>
      <c r="M94" s="73">
        <v>46175</v>
      </c>
      <c r="N94" s="73">
        <v>46177</v>
      </c>
      <c r="O94" s="119">
        <f>SUM(Prospects5[[#This Row],[Column5]]*12)</f>
        <v>86400</v>
      </c>
      <c r="P94" s="74">
        <v>2</v>
      </c>
      <c r="Q94" s="113" t="s">
        <v>204</v>
      </c>
    </row>
    <row r="95" spans="1:17" s="172" customFormat="1" ht="15" customHeight="1">
      <c r="A95" s="34">
        <v>77</v>
      </c>
      <c r="B95" s="34" t="s">
        <v>460</v>
      </c>
      <c r="C95" s="173" t="s">
        <v>205</v>
      </c>
      <c r="D95" s="68" t="s">
        <v>45</v>
      </c>
      <c r="E95" s="68" t="s">
        <v>46</v>
      </c>
      <c r="F95" s="174">
        <v>48</v>
      </c>
      <c r="G95" s="70">
        <f t="shared" si="6"/>
        <v>7200</v>
      </c>
      <c r="H95" s="71">
        <v>150</v>
      </c>
      <c r="I95" s="72" t="s">
        <v>15</v>
      </c>
      <c r="J95" s="73"/>
      <c r="K95" s="73">
        <v>46160</v>
      </c>
      <c r="L95" s="74" t="s">
        <v>34</v>
      </c>
      <c r="M95" s="73">
        <v>46197</v>
      </c>
      <c r="N95" s="73">
        <v>46203</v>
      </c>
      <c r="O95" s="119">
        <f>SUM(Prospects5[[#This Row],[Column5]]*12)</f>
        <v>86400</v>
      </c>
      <c r="P95" s="74">
        <v>5</v>
      </c>
      <c r="Q95" s="113" t="s">
        <v>437</v>
      </c>
    </row>
    <row r="96" spans="1:17" s="172" customFormat="1" ht="15" customHeight="1">
      <c r="A96" s="34">
        <v>78</v>
      </c>
      <c r="B96" s="34" t="s">
        <v>460</v>
      </c>
      <c r="C96" s="173" t="s">
        <v>206</v>
      </c>
      <c r="D96" s="68" t="s">
        <v>45</v>
      </c>
      <c r="E96" s="68" t="s">
        <v>46</v>
      </c>
      <c r="F96" s="174">
        <v>47</v>
      </c>
      <c r="G96" s="70">
        <f t="shared" si="6"/>
        <v>7050</v>
      </c>
      <c r="H96" s="71">
        <v>150</v>
      </c>
      <c r="I96" s="72" t="s">
        <v>13</v>
      </c>
      <c r="J96" s="73"/>
      <c r="K96" s="73">
        <v>46160</v>
      </c>
      <c r="L96" s="74" t="s">
        <v>34</v>
      </c>
      <c r="M96" s="73">
        <v>46184</v>
      </c>
      <c r="N96" s="73">
        <v>46197</v>
      </c>
      <c r="O96" s="119">
        <f>SUM(Prospects5[[#This Row],[Column5]]*12)</f>
        <v>84600</v>
      </c>
      <c r="P96" s="74">
        <v>5</v>
      </c>
      <c r="Q96" s="113" t="s">
        <v>207</v>
      </c>
    </row>
    <row r="97" spans="1:17" s="172" customFormat="1" ht="15" customHeight="1">
      <c r="A97" s="34">
        <v>79</v>
      </c>
      <c r="B97" s="34" t="s">
        <v>460</v>
      </c>
      <c r="C97" s="173" t="s">
        <v>208</v>
      </c>
      <c r="D97" s="68" t="s">
        <v>45</v>
      </c>
      <c r="E97" s="68" t="s">
        <v>46</v>
      </c>
      <c r="F97" s="174">
        <v>46</v>
      </c>
      <c r="G97" s="70">
        <f t="shared" si="6"/>
        <v>6900</v>
      </c>
      <c r="H97" s="71">
        <v>150</v>
      </c>
      <c r="I97" s="72" t="s">
        <v>15</v>
      </c>
      <c r="J97" s="73"/>
      <c r="K97" s="73">
        <v>46160</v>
      </c>
      <c r="L97" s="74" t="s">
        <v>34</v>
      </c>
      <c r="M97" s="73">
        <v>46190</v>
      </c>
      <c r="N97" s="73">
        <v>46197</v>
      </c>
      <c r="O97" s="119">
        <f>SUM(Prospects5[[#This Row],[Column5]]*12)</f>
        <v>82800</v>
      </c>
      <c r="P97" s="74">
        <v>4</v>
      </c>
      <c r="Q97" s="113" t="s">
        <v>209</v>
      </c>
    </row>
    <row r="98" spans="1:17" s="172" customFormat="1" ht="15" customHeight="1">
      <c r="A98" s="34">
        <v>80</v>
      </c>
      <c r="B98" s="34" t="s">
        <v>460</v>
      </c>
      <c r="C98" s="173" t="s">
        <v>210</v>
      </c>
      <c r="D98" s="68" t="s">
        <v>45</v>
      </c>
      <c r="E98" s="68" t="s">
        <v>46</v>
      </c>
      <c r="F98" s="174">
        <v>46</v>
      </c>
      <c r="G98" s="70">
        <f t="shared" si="6"/>
        <v>6900</v>
      </c>
      <c r="H98" s="71">
        <v>150</v>
      </c>
      <c r="I98" s="72" t="s">
        <v>15</v>
      </c>
      <c r="J98" s="73"/>
      <c r="K98" s="73">
        <v>46160</v>
      </c>
      <c r="L98" s="74" t="s">
        <v>34</v>
      </c>
      <c r="M98" s="73">
        <v>46192</v>
      </c>
      <c r="N98" s="73">
        <v>46195</v>
      </c>
      <c r="O98" s="119">
        <f>SUM(Prospects5[[#This Row],[Column5]]*12)</f>
        <v>82800</v>
      </c>
      <c r="P98" s="74">
        <v>3</v>
      </c>
      <c r="Q98" s="113" t="s">
        <v>211</v>
      </c>
    </row>
    <row r="99" spans="1:17" s="172" customFormat="1" ht="15" customHeight="1">
      <c r="A99" s="34">
        <v>81</v>
      </c>
      <c r="B99" s="34" t="s">
        <v>460</v>
      </c>
      <c r="C99" s="173" t="s">
        <v>212</v>
      </c>
      <c r="D99" s="68" t="s">
        <v>45</v>
      </c>
      <c r="E99" s="68" t="s">
        <v>46</v>
      </c>
      <c r="F99" s="174">
        <v>46</v>
      </c>
      <c r="G99" s="70">
        <f t="shared" si="6"/>
        <v>6900</v>
      </c>
      <c r="H99" s="71">
        <v>150</v>
      </c>
      <c r="I99" s="72" t="s">
        <v>15</v>
      </c>
      <c r="J99" s="73"/>
      <c r="K99" s="73">
        <v>46160</v>
      </c>
      <c r="L99" s="74" t="s">
        <v>34</v>
      </c>
      <c r="M99" s="73">
        <v>46177</v>
      </c>
      <c r="N99" s="73">
        <v>46198</v>
      </c>
      <c r="O99" s="119">
        <f>SUM(Prospects5[[#This Row],[Column5]]*12)</f>
        <v>82800</v>
      </c>
      <c r="P99" s="74">
        <v>3</v>
      </c>
      <c r="Q99" s="113" t="s">
        <v>213</v>
      </c>
    </row>
    <row r="100" spans="1:17" s="172" customFormat="1" ht="15" customHeight="1">
      <c r="A100" s="34">
        <v>82</v>
      </c>
      <c r="B100" s="34" t="s">
        <v>460</v>
      </c>
      <c r="C100" s="173" t="s">
        <v>214</v>
      </c>
      <c r="D100" s="68" t="s">
        <v>45</v>
      </c>
      <c r="E100" s="68" t="s">
        <v>46</v>
      </c>
      <c r="F100" s="174">
        <v>45</v>
      </c>
      <c r="G100" s="70">
        <f t="shared" si="6"/>
        <v>6750</v>
      </c>
      <c r="H100" s="71">
        <v>150</v>
      </c>
      <c r="I100" s="72" t="s">
        <v>15</v>
      </c>
      <c r="J100" s="73"/>
      <c r="K100" s="73">
        <v>46160</v>
      </c>
      <c r="L100" s="74" t="s">
        <v>34</v>
      </c>
      <c r="M100" s="73">
        <v>46189</v>
      </c>
      <c r="N100" s="73">
        <v>46197</v>
      </c>
      <c r="O100" s="119">
        <f>SUM(Prospects5[[#This Row],[Column5]]*12)</f>
        <v>81000</v>
      </c>
      <c r="P100" s="74">
        <v>5</v>
      </c>
      <c r="Q100" s="113" t="s">
        <v>215</v>
      </c>
    </row>
    <row r="101" spans="1:17" s="172" customFormat="1" ht="15" customHeight="1">
      <c r="A101" s="34">
        <v>83</v>
      </c>
      <c r="B101" s="34" t="s">
        <v>458</v>
      </c>
      <c r="C101" s="173" t="s">
        <v>216</v>
      </c>
      <c r="D101" s="68" t="s">
        <v>45</v>
      </c>
      <c r="E101" s="68" t="s">
        <v>46</v>
      </c>
      <c r="F101" s="174">
        <v>44</v>
      </c>
      <c r="G101" s="70">
        <f t="shared" si="6"/>
        <v>6600</v>
      </c>
      <c r="H101" s="71">
        <v>150</v>
      </c>
      <c r="I101" s="72" t="s">
        <v>15</v>
      </c>
      <c r="J101" s="73"/>
      <c r="K101" s="73">
        <v>46160</v>
      </c>
      <c r="L101" s="74" t="s">
        <v>34</v>
      </c>
      <c r="M101" s="73">
        <v>46192</v>
      </c>
      <c r="N101" s="73">
        <v>46197</v>
      </c>
      <c r="O101" s="119">
        <f>SUM(Prospects5[[#This Row],[Column5]]*12)</f>
        <v>79200</v>
      </c>
      <c r="P101" s="74">
        <v>6</v>
      </c>
      <c r="Q101" s="113" t="s">
        <v>217</v>
      </c>
    </row>
    <row r="102" spans="1:17" s="172" customFormat="1" ht="15" customHeight="1">
      <c r="A102" s="34">
        <v>84</v>
      </c>
      <c r="B102" s="34" t="s">
        <v>458</v>
      </c>
      <c r="C102" s="173" t="s">
        <v>218</v>
      </c>
      <c r="D102" s="68" t="s">
        <v>45</v>
      </c>
      <c r="E102" s="68" t="s">
        <v>46</v>
      </c>
      <c r="F102" s="174">
        <v>44</v>
      </c>
      <c r="G102" s="70">
        <f t="shared" si="6"/>
        <v>6600</v>
      </c>
      <c r="H102" s="71">
        <v>150</v>
      </c>
      <c r="I102" s="72" t="s">
        <v>15</v>
      </c>
      <c r="J102" s="73"/>
      <c r="K102" s="73">
        <v>46160</v>
      </c>
      <c r="L102" s="74" t="s">
        <v>34</v>
      </c>
      <c r="M102" s="73">
        <v>46197</v>
      </c>
      <c r="N102" s="73">
        <v>46203</v>
      </c>
      <c r="O102" s="119">
        <f>SUM(Prospects5[[#This Row],[Column5]]*12)</f>
        <v>79200</v>
      </c>
      <c r="P102" s="74">
        <v>5</v>
      </c>
      <c r="Q102" s="113" t="s">
        <v>440</v>
      </c>
    </row>
    <row r="103" spans="1:17" s="172" customFormat="1" ht="15" customHeight="1">
      <c r="A103" s="34">
        <v>85</v>
      </c>
      <c r="B103" s="34" t="s">
        <v>460</v>
      </c>
      <c r="C103" s="173" t="s">
        <v>219</v>
      </c>
      <c r="D103" s="68" t="s">
        <v>45</v>
      </c>
      <c r="E103" s="68" t="s">
        <v>46</v>
      </c>
      <c r="F103" s="174">
        <v>43</v>
      </c>
      <c r="G103" s="70">
        <f t="shared" si="6"/>
        <v>6450</v>
      </c>
      <c r="H103" s="71">
        <v>150</v>
      </c>
      <c r="I103" s="72" t="s">
        <v>13</v>
      </c>
      <c r="J103" s="73"/>
      <c r="K103" s="73">
        <v>46160</v>
      </c>
      <c r="L103" s="74" t="s">
        <v>34</v>
      </c>
      <c r="M103" s="73">
        <v>46197</v>
      </c>
      <c r="N103" s="73">
        <v>46203</v>
      </c>
      <c r="O103" s="119">
        <f>SUM(Prospects5[[#This Row],[Column5]]*12)</f>
        <v>77400</v>
      </c>
      <c r="P103" s="74">
        <v>4</v>
      </c>
      <c r="Q103" s="113" t="s">
        <v>446</v>
      </c>
    </row>
    <row r="104" spans="1:17" s="172" customFormat="1" ht="15" customHeight="1">
      <c r="A104" s="34">
        <v>86</v>
      </c>
      <c r="B104" s="34" t="s">
        <v>460</v>
      </c>
      <c r="C104" s="173" t="s">
        <v>220</v>
      </c>
      <c r="D104" s="68" t="s">
        <v>45</v>
      </c>
      <c r="E104" s="68" t="s">
        <v>46</v>
      </c>
      <c r="F104" s="174">
        <v>43</v>
      </c>
      <c r="G104" s="70">
        <f t="shared" si="6"/>
        <v>6450</v>
      </c>
      <c r="H104" s="71">
        <v>150</v>
      </c>
      <c r="I104" s="72" t="s">
        <v>15</v>
      </c>
      <c r="J104" s="73"/>
      <c r="K104" s="73">
        <v>46160</v>
      </c>
      <c r="L104" s="74" t="s">
        <v>34</v>
      </c>
      <c r="M104" s="73">
        <v>46197</v>
      </c>
      <c r="N104" s="73">
        <v>46203</v>
      </c>
      <c r="O104" s="119">
        <f>SUM(Prospects5[[#This Row],[Column5]]*12)</f>
        <v>77400</v>
      </c>
      <c r="P104" s="74">
        <v>4</v>
      </c>
      <c r="Q104" s="113" t="s">
        <v>221</v>
      </c>
    </row>
    <row r="105" spans="1:17" s="172" customFormat="1" ht="15" customHeight="1">
      <c r="A105" s="34">
        <v>87</v>
      </c>
      <c r="B105" s="34" t="s">
        <v>458</v>
      </c>
      <c r="C105" s="173" t="s">
        <v>222</v>
      </c>
      <c r="D105" s="68" t="s">
        <v>45</v>
      </c>
      <c r="E105" s="68" t="s">
        <v>46</v>
      </c>
      <c r="F105" s="174">
        <v>43</v>
      </c>
      <c r="G105" s="70">
        <f t="shared" si="6"/>
        <v>6450</v>
      </c>
      <c r="H105" s="71">
        <v>150</v>
      </c>
      <c r="I105" s="72" t="s">
        <v>15</v>
      </c>
      <c r="J105" s="73"/>
      <c r="K105" s="73">
        <v>46160</v>
      </c>
      <c r="L105" s="74" t="s">
        <v>34</v>
      </c>
      <c r="M105" s="73">
        <v>46197</v>
      </c>
      <c r="N105" s="73">
        <v>46218</v>
      </c>
      <c r="O105" s="119">
        <f>SUM(Prospects5[[#This Row],[Column5]]*12)</f>
        <v>77400</v>
      </c>
      <c r="P105" s="74">
        <v>4</v>
      </c>
      <c r="Q105" s="113" t="s">
        <v>223</v>
      </c>
    </row>
    <row r="106" spans="1:17" s="172" customFormat="1" ht="15" customHeight="1">
      <c r="A106" s="34">
        <v>88</v>
      </c>
      <c r="B106" s="34" t="s">
        <v>460</v>
      </c>
      <c r="C106" s="173" t="s">
        <v>224</v>
      </c>
      <c r="D106" s="68" t="s">
        <v>45</v>
      </c>
      <c r="E106" s="68" t="s">
        <v>46</v>
      </c>
      <c r="F106" s="174">
        <v>42</v>
      </c>
      <c r="G106" s="70">
        <f t="shared" si="6"/>
        <v>6300</v>
      </c>
      <c r="H106" s="71">
        <v>150</v>
      </c>
      <c r="I106" s="72" t="s">
        <v>13</v>
      </c>
      <c r="J106" s="73"/>
      <c r="K106" s="73">
        <v>46160</v>
      </c>
      <c r="L106" s="74" t="s">
        <v>34</v>
      </c>
      <c r="M106" s="73">
        <v>46197</v>
      </c>
      <c r="N106" s="73">
        <v>46204</v>
      </c>
      <c r="O106" s="119">
        <f>SUM(Prospects5[[#This Row],[Column5]]*12)</f>
        <v>75600</v>
      </c>
      <c r="P106" s="74">
        <v>4</v>
      </c>
      <c r="Q106" s="113" t="s">
        <v>430</v>
      </c>
    </row>
    <row r="107" spans="1:17" s="172" customFormat="1" ht="15" customHeight="1">
      <c r="A107" s="34">
        <v>89</v>
      </c>
      <c r="B107" s="34" t="s">
        <v>458</v>
      </c>
      <c r="C107" s="173" t="s">
        <v>225</v>
      </c>
      <c r="D107" s="68" t="s">
        <v>45</v>
      </c>
      <c r="E107" s="68" t="s">
        <v>46</v>
      </c>
      <c r="F107" s="174">
        <v>42</v>
      </c>
      <c r="G107" s="70">
        <f t="shared" si="6"/>
        <v>6300</v>
      </c>
      <c r="H107" s="71">
        <v>150</v>
      </c>
      <c r="I107" s="72" t="s">
        <v>13</v>
      </c>
      <c r="J107" s="73"/>
      <c r="K107" s="73">
        <v>46160</v>
      </c>
      <c r="L107" s="74" t="s">
        <v>34</v>
      </c>
      <c r="M107" s="73">
        <v>46184</v>
      </c>
      <c r="N107" s="73">
        <v>46197</v>
      </c>
      <c r="O107" s="119">
        <f>SUM(Prospects5[[#This Row],[Column5]]*12)</f>
        <v>75600</v>
      </c>
      <c r="P107" s="74">
        <v>3</v>
      </c>
      <c r="Q107" s="113" t="s">
        <v>226</v>
      </c>
    </row>
    <row r="108" spans="1:17" s="172" customFormat="1" ht="15" customHeight="1">
      <c r="A108" s="34">
        <v>90</v>
      </c>
      <c r="B108" s="34" t="s">
        <v>460</v>
      </c>
      <c r="C108" s="173" t="s">
        <v>227</v>
      </c>
      <c r="D108" s="68" t="s">
        <v>45</v>
      </c>
      <c r="E108" s="68" t="s">
        <v>46</v>
      </c>
      <c r="F108" s="174">
        <v>42</v>
      </c>
      <c r="G108" s="70">
        <f t="shared" si="6"/>
        <v>6300</v>
      </c>
      <c r="H108" s="71">
        <v>150</v>
      </c>
      <c r="I108" s="72" t="s">
        <v>13</v>
      </c>
      <c r="J108" s="73"/>
      <c r="K108" s="73">
        <v>46160</v>
      </c>
      <c r="L108" s="74" t="s">
        <v>34</v>
      </c>
      <c r="M108" s="73">
        <v>46185</v>
      </c>
      <c r="N108" s="73">
        <v>46197</v>
      </c>
      <c r="O108" s="119">
        <f>SUM(Prospects5[[#This Row],[Column5]]*12)</f>
        <v>75600</v>
      </c>
      <c r="P108" s="74">
        <v>3</v>
      </c>
      <c r="Q108" s="113" t="s">
        <v>228</v>
      </c>
    </row>
    <row r="109" spans="1:17" s="172" customFormat="1" ht="15" customHeight="1">
      <c r="A109" s="34">
        <v>91</v>
      </c>
      <c r="B109" s="34" t="s">
        <v>460</v>
      </c>
      <c r="C109" s="175" t="s">
        <v>229</v>
      </c>
      <c r="D109" s="94" t="s">
        <v>45</v>
      </c>
      <c r="E109" s="94" t="s">
        <v>46</v>
      </c>
      <c r="F109" s="176">
        <v>41</v>
      </c>
      <c r="G109" s="117">
        <f t="shared" si="6"/>
        <v>6150</v>
      </c>
      <c r="H109" s="95">
        <v>150</v>
      </c>
      <c r="I109" s="118" t="s">
        <v>15</v>
      </c>
      <c r="J109" s="80"/>
      <c r="K109" s="80">
        <v>46160</v>
      </c>
      <c r="L109" s="81" t="s">
        <v>34</v>
      </c>
      <c r="M109" s="73">
        <v>46191</v>
      </c>
      <c r="N109" s="73">
        <v>46195</v>
      </c>
      <c r="O109" s="119">
        <f>SUM(Prospects5[[#This Row],[Column5]]*12)</f>
        <v>73800</v>
      </c>
      <c r="P109" s="81">
        <v>4</v>
      </c>
      <c r="Q109" s="113" t="s">
        <v>230</v>
      </c>
    </row>
    <row r="110" spans="1:17" s="172" customFormat="1" ht="15" customHeight="1">
      <c r="A110" s="34">
        <v>92</v>
      </c>
      <c r="B110" s="34" t="s">
        <v>460</v>
      </c>
      <c r="C110" s="233" t="s">
        <v>231</v>
      </c>
      <c r="D110" s="68" t="s">
        <v>45</v>
      </c>
      <c r="E110" s="68" t="s">
        <v>46</v>
      </c>
      <c r="F110" s="234">
        <v>61</v>
      </c>
      <c r="G110" s="117">
        <f t="shared" si="6"/>
        <v>9150</v>
      </c>
      <c r="H110" s="71">
        <v>150</v>
      </c>
      <c r="I110" s="118" t="s">
        <v>13</v>
      </c>
      <c r="J110" s="80"/>
      <c r="K110" s="80">
        <v>46181</v>
      </c>
      <c r="L110" s="74" t="s">
        <v>34</v>
      </c>
      <c r="M110" s="80">
        <v>46197</v>
      </c>
      <c r="N110" s="80">
        <v>46203</v>
      </c>
      <c r="O110" s="119">
        <f>SUM(Prospects5[[#This Row],[Column5]]*12)</f>
        <v>109800</v>
      </c>
      <c r="P110" s="81">
        <v>3</v>
      </c>
      <c r="Q110" s="235" t="s">
        <v>444</v>
      </c>
    </row>
    <row r="111" spans="1:17" s="172" customFormat="1" ht="15" customHeight="1">
      <c r="A111" s="34">
        <v>93</v>
      </c>
      <c r="B111" s="34" t="s">
        <v>460</v>
      </c>
      <c r="C111" s="233" t="s">
        <v>232</v>
      </c>
      <c r="D111" s="94" t="s">
        <v>45</v>
      </c>
      <c r="E111" s="94" t="s">
        <v>46</v>
      </c>
      <c r="F111" s="234">
        <v>61</v>
      </c>
      <c r="G111" s="117">
        <f t="shared" si="6"/>
        <v>9150</v>
      </c>
      <c r="H111" s="95">
        <v>150</v>
      </c>
      <c r="I111" s="118" t="s">
        <v>15</v>
      </c>
      <c r="J111" s="80"/>
      <c r="K111" s="80">
        <v>46181</v>
      </c>
      <c r="L111" s="81" t="s">
        <v>34</v>
      </c>
      <c r="M111" s="80">
        <v>46184</v>
      </c>
      <c r="N111" s="80">
        <v>46189</v>
      </c>
      <c r="O111" s="119">
        <f>SUM(Prospects5[[#This Row],[Column5]]*12)</f>
        <v>109800</v>
      </c>
      <c r="P111" s="81">
        <v>1</v>
      </c>
      <c r="Q111" s="235" t="s">
        <v>233</v>
      </c>
    </row>
    <row r="112" spans="1:17" s="172" customFormat="1" ht="15" customHeight="1">
      <c r="A112" s="34">
        <v>94</v>
      </c>
      <c r="B112" s="34" t="s">
        <v>458</v>
      </c>
      <c r="C112" s="233" t="s">
        <v>234</v>
      </c>
      <c r="D112" s="68" t="s">
        <v>45</v>
      </c>
      <c r="E112" s="68" t="s">
        <v>46</v>
      </c>
      <c r="F112" s="234">
        <v>61</v>
      </c>
      <c r="G112" s="117">
        <f t="shared" si="6"/>
        <v>9150</v>
      </c>
      <c r="H112" s="71">
        <v>150</v>
      </c>
      <c r="I112" s="118" t="s">
        <v>13</v>
      </c>
      <c r="J112" s="80"/>
      <c r="K112" s="80">
        <v>46181</v>
      </c>
      <c r="L112" s="74" t="s">
        <v>34</v>
      </c>
      <c r="M112" s="80">
        <v>46184</v>
      </c>
      <c r="N112" s="80">
        <v>46245</v>
      </c>
      <c r="O112" s="119">
        <f>SUM(Prospects5[[#This Row],[Column5]]*12)</f>
        <v>109800</v>
      </c>
      <c r="P112" s="81">
        <v>1</v>
      </c>
      <c r="Q112" s="235" t="s">
        <v>235</v>
      </c>
    </row>
    <row r="113" spans="1:17" s="172" customFormat="1" ht="15" customHeight="1">
      <c r="A113" s="34">
        <v>95</v>
      </c>
      <c r="B113" s="34" t="s">
        <v>460</v>
      </c>
      <c r="C113" s="233" t="s">
        <v>236</v>
      </c>
      <c r="D113" s="94" t="s">
        <v>45</v>
      </c>
      <c r="E113" s="94" t="s">
        <v>46</v>
      </c>
      <c r="F113" s="234">
        <v>61</v>
      </c>
      <c r="G113" s="117">
        <f t="shared" si="6"/>
        <v>9150</v>
      </c>
      <c r="H113" s="95">
        <v>150</v>
      </c>
      <c r="I113" s="118" t="s">
        <v>15</v>
      </c>
      <c r="J113" s="80"/>
      <c r="K113" s="80">
        <v>46181</v>
      </c>
      <c r="L113" s="81" t="s">
        <v>34</v>
      </c>
      <c r="M113" s="80">
        <v>46184</v>
      </c>
      <c r="N113" s="80">
        <v>46198</v>
      </c>
      <c r="O113" s="119">
        <f>SUM(Prospects5[[#This Row],[Column5]]*12)</f>
        <v>109800</v>
      </c>
      <c r="P113" s="81">
        <v>1</v>
      </c>
      <c r="Q113" s="235" t="s">
        <v>237</v>
      </c>
    </row>
    <row r="114" spans="1:17" s="172" customFormat="1" ht="15" customHeight="1">
      <c r="A114" s="34">
        <v>96</v>
      </c>
      <c r="B114" s="34" t="s">
        <v>460</v>
      </c>
      <c r="C114" s="233" t="s">
        <v>238</v>
      </c>
      <c r="D114" s="68" t="s">
        <v>45</v>
      </c>
      <c r="E114" s="68" t="s">
        <v>46</v>
      </c>
      <c r="F114" s="234">
        <v>61</v>
      </c>
      <c r="G114" s="117">
        <f t="shared" si="6"/>
        <v>9150</v>
      </c>
      <c r="H114" s="71">
        <v>150</v>
      </c>
      <c r="I114" s="118" t="s">
        <v>15</v>
      </c>
      <c r="J114" s="80"/>
      <c r="K114" s="80">
        <v>46181</v>
      </c>
      <c r="L114" s="74" t="s">
        <v>34</v>
      </c>
      <c r="M114" s="80">
        <v>46191</v>
      </c>
      <c r="N114" s="80">
        <v>46195</v>
      </c>
      <c r="O114" s="119">
        <f>SUM(Prospects5[[#This Row],[Column5]]*12)</f>
        <v>109800</v>
      </c>
      <c r="P114" s="81">
        <v>2</v>
      </c>
      <c r="Q114" s="235" t="s">
        <v>239</v>
      </c>
    </row>
    <row r="115" spans="1:17" s="172" customFormat="1" ht="15" customHeight="1">
      <c r="A115" s="34">
        <v>97</v>
      </c>
      <c r="B115" s="34" t="s">
        <v>460</v>
      </c>
      <c r="C115" s="233" t="s">
        <v>240</v>
      </c>
      <c r="D115" s="94" t="s">
        <v>45</v>
      </c>
      <c r="E115" s="94" t="s">
        <v>46</v>
      </c>
      <c r="F115" s="234">
        <v>61</v>
      </c>
      <c r="G115" s="117">
        <f t="shared" si="6"/>
        <v>9150</v>
      </c>
      <c r="H115" s="95">
        <v>150</v>
      </c>
      <c r="I115" s="118" t="s">
        <v>13</v>
      </c>
      <c r="J115" s="80"/>
      <c r="K115" s="80">
        <v>46181</v>
      </c>
      <c r="L115" s="81" t="s">
        <v>34</v>
      </c>
      <c r="M115" s="80">
        <v>46191</v>
      </c>
      <c r="N115" s="80">
        <v>46195</v>
      </c>
      <c r="O115" s="119">
        <f>SUM(Prospects5[[#This Row],[Column5]]*12)</f>
        <v>109800</v>
      </c>
      <c r="P115" s="81">
        <v>2</v>
      </c>
      <c r="Q115" s="235" t="s">
        <v>241</v>
      </c>
    </row>
    <row r="116" spans="1:17" s="172" customFormat="1" ht="15" customHeight="1">
      <c r="A116" s="34">
        <v>98</v>
      </c>
      <c r="B116" s="34" t="s">
        <v>460</v>
      </c>
      <c r="C116" s="233" t="s">
        <v>242</v>
      </c>
      <c r="D116" s="68" t="s">
        <v>45</v>
      </c>
      <c r="E116" s="68" t="s">
        <v>46</v>
      </c>
      <c r="F116" s="234">
        <v>60</v>
      </c>
      <c r="G116" s="117">
        <f t="shared" si="6"/>
        <v>9000</v>
      </c>
      <c r="H116" s="71">
        <v>150</v>
      </c>
      <c r="I116" s="118" t="s">
        <v>13</v>
      </c>
      <c r="J116" s="80"/>
      <c r="K116" s="80">
        <v>46181</v>
      </c>
      <c r="L116" s="74" t="s">
        <v>34</v>
      </c>
      <c r="M116" s="80">
        <v>46184</v>
      </c>
      <c r="N116" s="80">
        <v>46196</v>
      </c>
      <c r="O116" s="119">
        <f>SUM(Prospects5[[#This Row],[Column5]]*12)</f>
        <v>108000</v>
      </c>
      <c r="P116" s="81">
        <v>1</v>
      </c>
      <c r="Q116" s="235" t="s">
        <v>243</v>
      </c>
    </row>
    <row r="117" spans="1:17" s="172" customFormat="1" ht="15" customHeight="1">
      <c r="A117" s="34">
        <v>99</v>
      </c>
      <c r="B117" s="34" t="s">
        <v>460</v>
      </c>
      <c r="C117" s="233" t="s">
        <v>248</v>
      </c>
      <c r="D117" s="68" t="s">
        <v>45</v>
      </c>
      <c r="E117" s="68" t="s">
        <v>46</v>
      </c>
      <c r="F117" s="234">
        <v>58</v>
      </c>
      <c r="G117" s="117">
        <f t="shared" si="6"/>
        <v>8700</v>
      </c>
      <c r="H117" s="71">
        <v>150</v>
      </c>
      <c r="I117" s="118" t="s">
        <v>13</v>
      </c>
      <c r="J117" s="80"/>
      <c r="K117" s="80">
        <v>46181</v>
      </c>
      <c r="L117" s="74" t="s">
        <v>34</v>
      </c>
      <c r="M117" s="80">
        <v>46190</v>
      </c>
      <c r="N117" s="80">
        <v>46197</v>
      </c>
      <c r="O117" s="119">
        <f>SUM(Prospects5[[#This Row],[Column5]]*12)</f>
        <v>104400</v>
      </c>
      <c r="P117" s="81">
        <v>2</v>
      </c>
      <c r="Q117" s="235" t="s">
        <v>249</v>
      </c>
    </row>
    <row r="118" spans="1:17" s="172" customFormat="1" ht="15" customHeight="1">
      <c r="A118" s="34">
        <v>100</v>
      </c>
      <c r="B118" s="34" t="s">
        <v>460</v>
      </c>
      <c r="C118" s="233" t="s">
        <v>250</v>
      </c>
      <c r="D118" s="94" t="s">
        <v>45</v>
      </c>
      <c r="E118" s="94" t="s">
        <v>46</v>
      </c>
      <c r="F118" s="234">
        <v>58</v>
      </c>
      <c r="G118" s="117">
        <f t="shared" si="6"/>
        <v>8700</v>
      </c>
      <c r="H118" s="95">
        <v>150</v>
      </c>
      <c r="I118" s="118" t="s">
        <v>15</v>
      </c>
      <c r="J118" s="80"/>
      <c r="K118" s="80">
        <v>46181</v>
      </c>
      <c r="L118" s="81" t="s">
        <v>34</v>
      </c>
      <c r="M118" s="80">
        <v>46190</v>
      </c>
      <c r="N118" s="80">
        <v>46197</v>
      </c>
      <c r="O118" s="119">
        <f>SUM(Prospects5[[#This Row],[Column5]]*12)</f>
        <v>104400</v>
      </c>
      <c r="P118" s="81">
        <v>1</v>
      </c>
      <c r="Q118" s="235" t="s">
        <v>251</v>
      </c>
    </row>
    <row r="119" spans="1:17" s="172" customFormat="1" ht="15" customHeight="1">
      <c r="A119" s="34">
        <v>101</v>
      </c>
      <c r="B119" s="34" t="s">
        <v>460</v>
      </c>
      <c r="C119" s="233" t="s">
        <v>252</v>
      </c>
      <c r="D119" s="68" t="s">
        <v>45</v>
      </c>
      <c r="E119" s="68" t="s">
        <v>46</v>
      </c>
      <c r="F119" s="234">
        <v>58</v>
      </c>
      <c r="G119" s="117">
        <f t="shared" si="6"/>
        <v>8700</v>
      </c>
      <c r="H119" s="71">
        <v>150</v>
      </c>
      <c r="I119" s="118" t="s">
        <v>15</v>
      </c>
      <c r="J119" s="80"/>
      <c r="K119" s="80">
        <v>46181</v>
      </c>
      <c r="L119" s="74" t="s">
        <v>34</v>
      </c>
      <c r="M119" s="80">
        <v>46190</v>
      </c>
      <c r="N119" s="80">
        <v>46197</v>
      </c>
      <c r="O119" s="119">
        <f>SUM(Prospects5[[#This Row],[Column5]]*12)</f>
        <v>104400</v>
      </c>
      <c r="P119" s="81">
        <v>2</v>
      </c>
      <c r="Q119" s="235" t="s">
        <v>253</v>
      </c>
    </row>
    <row r="120" spans="1:17" s="172" customFormat="1" ht="15" customHeight="1">
      <c r="A120" s="34">
        <v>102</v>
      </c>
      <c r="B120" s="34" t="s">
        <v>460</v>
      </c>
      <c r="C120" s="233" t="s">
        <v>254</v>
      </c>
      <c r="D120" s="94" t="s">
        <v>45</v>
      </c>
      <c r="E120" s="94" t="s">
        <v>46</v>
      </c>
      <c r="F120" s="234">
        <v>57</v>
      </c>
      <c r="G120" s="117">
        <f t="shared" si="6"/>
        <v>8550</v>
      </c>
      <c r="H120" s="95">
        <v>150</v>
      </c>
      <c r="I120" s="118" t="s">
        <v>15</v>
      </c>
      <c r="J120" s="80"/>
      <c r="K120" s="80">
        <v>46181</v>
      </c>
      <c r="L120" s="81" t="s">
        <v>34</v>
      </c>
      <c r="M120" s="80">
        <v>46197</v>
      </c>
      <c r="N120" s="80">
        <v>46211</v>
      </c>
      <c r="O120" s="119">
        <f>SUM(Prospects5[[#This Row],[Column5]]*12)</f>
        <v>102600</v>
      </c>
      <c r="P120" s="81">
        <v>2</v>
      </c>
      <c r="Q120" s="235" t="s">
        <v>443</v>
      </c>
    </row>
    <row r="121" spans="1:17" s="172" customFormat="1" ht="15" customHeight="1">
      <c r="A121" s="34">
        <v>103</v>
      </c>
      <c r="B121" s="34" t="s">
        <v>458</v>
      </c>
      <c r="C121" s="233" t="s">
        <v>255</v>
      </c>
      <c r="D121" s="68" t="s">
        <v>45</v>
      </c>
      <c r="E121" s="68" t="s">
        <v>46</v>
      </c>
      <c r="F121" s="234">
        <v>57</v>
      </c>
      <c r="G121" s="117">
        <f t="shared" si="6"/>
        <v>8550</v>
      </c>
      <c r="H121" s="71">
        <v>150</v>
      </c>
      <c r="I121" s="118" t="s">
        <v>13</v>
      </c>
      <c r="J121" s="80"/>
      <c r="K121" s="80">
        <v>46181</v>
      </c>
      <c r="L121" s="74" t="s">
        <v>34</v>
      </c>
      <c r="M121" s="80">
        <v>46190</v>
      </c>
      <c r="N121" s="80">
        <v>46204</v>
      </c>
      <c r="O121" s="119">
        <f>SUM(Prospects5[[#This Row],[Column5]]*12)</f>
        <v>102600</v>
      </c>
      <c r="P121" s="81">
        <v>1</v>
      </c>
      <c r="Q121" s="235" t="s">
        <v>256</v>
      </c>
    </row>
    <row r="122" spans="1:17" s="172" customFormat="1" ht="15" customHeight="1">
      <c r="A122" s="34">
        <v>104</v>
      </c>
      <c r="B122" s="34" t="s">
        <v>460</v>
      </c>
      <c r="C122" s="233" t="s">
        <v>257</v>
      </c>
      <c r="D122" s="94" t="s">
        <v>45</v>
      </c>
      <c r="E122" s="94" t="s">
        <v>46</v>
      </c>
      <c r="F122" s="234">
        <v>57</v>
      </c>
      <c r="G122" s="117">
        <f t="shared" si="6"/>
        <v>8550</v>
      </c>
      <c r="H122" s="95">
        <v>150</v>
      </c>
      <c r="I122" s="118" t="s">
        <v>13</v>
      </c>
      <c r="J122" s="80"/>
      <c r="K122" s="80">
        <v>46181</v>
      </c>
      <c r="L122" s="81" t="s">
        <v>34</v>
      </c>
      <c r="M122" s="80">
        <v>46190</v>
      </c>
      <c r="N122" s="80">
        <v>46196</v>
      </c>
      <c r="O122" s="119">
        <f>SUM(Prospects5[[#This Row],[Column5]]*12)</f>
        <v>102600</v>
      </c>
      <c r="P122" s="81">
        <v>1</v>
      </c>
      <c r="Q122" s="235" t="s">
        <v>258</v>
      </c>
    </row>
    <row r="123" spans="1:17" s="172" customFormat="1" ht="15" customHeight="1">
      <c r="A123" s="34">
        <v>105</v>
      </c>
      <c r="B123" s="34" t="s">
        <v>460</v>
      </c>
      <c r="C123" s="233" t="s">
        <v>259</v>
      </c>
      <c r="D123" s="94" t="s">
        <v>45</v>
      </c>
      <c r="E123" s="94" t="s">
        <v>46</v>
      </c>
      <c r="F123" s="234">
        <v>56</v>
      </c>
      <c r="G123" s="117">
        <f t="shared" si="6"/>
        <v>8400</v>
      </c>
      <c r="H123" s="95">
        <v>150</v>
      </c>
      <c r="I123" s="118" t="s">
        <v>13</v>
      </c>
      <c r="J123" s="80"/>
      <c r="K123" s="80">
        <v>46181</v>
      </c>
      <c r="L123" s="81" t="s">
        <v>34</v>
      </c>
      <c r="M123" s="80">
        <v>46190</v>
      </c>
      <c r="N123" s="80">
        <v>46197</v>
      </c>
      <c r="O123" s="119">
        <f>SUM(Prospects5[[#This Row],[Column5]]*12)</f>
        <v>100800</v>
      </c>
      <c r="P123" s="81">
        <v>1</v>
      </c>
      <c r="Q123" s="235" t="s">
        <v>260</v>
      </c>
    </row>
    <row r="124" spans="1:17" s="172" customFormat="1" ht="15" customHeight="1">
      <c r="A124" s="34">
        <v>106</v>
      </c>
      <c r="B124" s="34" t="s">
        <v>460</v>
      </c>
      <c r="C124" s="233" t="s">
        <v>261</v>
      </c>
      <c r="D124" s="94" t="s">
        <v>45</v>
      </c>
      <c r="E124" s="94" t="s">
        <v>46</v>
      </c>
      <c r="F124" s="234">
        <v>56</v>
      </c>
      <c r="G124" s="117">
        <f t="shared" si="6"/>
        <v>8400</v>
      </c>
      <c r="H124" s="95">
        <v>150</v>
      </c>
      <c r="I124" s="118" t="s">
        <v>15</v>
      </c>
      <c r="J124" s="80"/>
      <c r="K124" s="80">
        <v>46181</v>
      </c>
      <c r="L124" s="74" t="s">
        <v>34</v>
      </c>
      <c r="M124" s="80">
        <v>46191</v>
      </c>
      <c r="N124" s="80">
        <v>46195</v>
      </c>
      <c r="O124" s="119">
        <f>SUM(Prospects5[[#This Row],[Column5]]*12)</f>
        <v>100800</v>
      </c>
      <c r="P124" s="81">
        <v>1</v>
      </c>
      <c r="Q124" s="235" t="s">
        <v>262</v>
      </c>
    </row>
    <row r="125" spans="1:17" s="172" customFormat="1" ht="15" customHeight="1">
      <c r="A125" s="34">
        <v>107</v>
      </c>
      <c r="B125" s="34" t="s">
        <v>458</v>
      </c>
      <c r="C125" s="233" t="s">
        <v>263</v>
      </c>
      <c r="D125" s="94" t="s">
        <v>45</v>
      </c>
      <c r="E125" s="94" t="s">
        <v>46</v>
      </c>
      <c r="F125" s="234">
        <v>56</v>
      </c>
      <c r="G125" s="117">
        <f t="shared" si="6"/>
        <v>8400</v>
      </c>
      <c r="H125" s="95">
        <v>150</v>
      </c>
      <c r="I125" s="118" t="s">
        <v>13</v>
      </c>
      <c r="J125" s="80"/>
      <c r="K125" s="80">
        <v>46181</v>
      </c>
      <c r="L125" s="81" t="s">
        <v>34</v>
      </c>
      <c r="M125" s="80">
        <v>46191</v>
      </c>
      <c r="N125" s="80">
        <v>46196</v>
      </c>
      <c r="O125" s="119">
        <f>SUM(Prospects5[[#This Row],[Column5]]*12)</f>
        <v>100800</v>
      </c>
      <c r="P125" s="81">
        <v>1</v>
      </c>
      <c r="Q125" s="235" t="s">
        <v>264</v>
      </c>
    </row>
    <row r="126" spans="1:17" s="172" customFormat="1" ht="15" customHeight="1">
      <c r="A126" s="34">
        <v>108</v>
      </c>
      <c r="B126" s="34" t="s">
        <v>460</v>
      </c>
      <c r="C126" s="233" t="s">
        <v>265</v>
      </c>
      <c r="D126" s="94" t="s">
        <v>45</v>
      </c>
      <c r="E126" s="94" t="s">
        <v>46</v>
      </c>
      <c r="F126" s="234">
        <v>38</v>
      </c>
      <c r="G126" s="117">
        <f t="shared" si="6"/>
        <v>5700</v>
      </c>
      <c r="H126" s="95">
        <v>150</v>
      </c>
      <c r="I126" s="118" t="s">
        <v>1</v>
      </c>
      <c r="J126" s="80"/>
      <c r="K126" s="80">
        <v>46181</v>
      </c>
      <c r="L126" s="74" t="s">
        <v>34</v>
      </c>
      <c r="M126" s="80">
        <v>46191</v>
      </c>
      <c r="N126" s="80">
        <v>46343</v>
      </c>
      <c r="O126" s="119">
        <f>SUM(Prospects5[[#This Row],[Column5]]*12)</f>
        <v>68400</v>
      </c>
      <c r="P126" s="81">
        <v>1</v>
      </c>
      <c r="Q126" s="235" t="s">
        <v>266</v>
      </c>
    </row>
    <row r="127" spans="1:17" s="172" customFormat="1" ht="15" customHeight="1">
      <c r="A127" s="34">
        <v>109</v>
      </c>
      <c r="B127" s="34" t="s">
        <v>460</v>
      </c>
      <c r="C127" s="233" t="s">
        <v>267</v>
      </c>
      <c r="D127" s="94" t="s">
        <v>45</v>
      </c>
      <c r="E127" s="94" t="s">
        <v>46</v>
      </c>
      <c r="F127" s="234">
        <v>38</v>
      </c>
      <c r="G127" s="117">
        <f t="shared" si="6"/>
        <v>5700</v>
      </c>
      <c r="H127" s="95">
        <v>150</v>
      </c>
      <c r="I127" s="118" t="s">
        <v>13</v>
      </c>
      <c r="J127" s="80"/>
      <c r="K127" s="80">
        <v>46181</v>
      </c>
      <c r="L127" s="74" t="s">
        <v>34</v>
      </c>
      <c r="M127" s="80">
        <v>46191</v>
      </c>
      <c r="N127" s="80">
        <v>46197</v>
      </c>
      <c r="O127" s="119">
        <f>SUM(Prospects5[[#This Row],[Column5]]*12)</f>
        <v>68400</v>
      </c>
      <c r="P127" s="81">
        <v>1</v>
      </c>
      <c r="Q127" s="235" t="s">
        <v>268</v>
      </c>
    </row>
    <row r="128" spans="1:17" s="172" customFormat="1" ht="15" customHeight="1">
      <c r="A128" s="34">
        <v>110</v>
      </c>
      <c r="B128" s="34" t="s">
        <v>460</v>
      </c>
      <c r="C128" s="233" t="s">
        <v>269</v>
      </c>
      <c r="D128" s="94" t="s">
        <v>45</v>
      </c>
      <c r="E128" s="94" t="s">
        <v>46</v>
      </c>
      <c r="F128" s="234">
        <v>38</v>
      </c>
      <c r="G128" s="117">
        <f t="shared" si="6"/>
        <v>5700</v>
      </c>
      <c r="H128" s="95">
        <v>150</v>
      </c>
      <c r="I128" s="118" t="s">
        <v>1</v>
      </c>
      <c r="J128" s="80"/>
      <c r="K128" s="80">
        <v>46181</v>
      </c>
      <c r="L128" s="81" t="s">
        <v>34</v>
      </c>
      <c r="M128" s="80"/>
      <c r="N128" s="80"/>
      <c r="O128" s="119">
        <f>SUM(Prospects5[[#This Row],[Column5]]*12)</f>
        <v>68400</v>
      </c>
      <c r="P128" s="81">
        <v>0</v>
      </c>
      <c r="Q128" s="235" t="s">
        <v>270</v>
      </c>
    </row>
    <row r="129" spans="1:17" s="172" customFormat="1" ht="15" customHeight="1">
      <c r="A129" s="34">
        <v>111</v>
      </c>
      <c r="B129" s="34" t="s">
        <v>460</v>
      </c>
      <c r="C129" s="233" t="s">
        <v>271</v>
      </c>
      <c r="D129" s="94" t="s">
        <v>45</v>
      </c>
      <c r="E129" s="94" t="s">
        <v>46</v>
      </c>
      <c r="F129" s="234">
        <v>38</v>
      </c>
      <c r="G129" s="117">
        <f t="shared" si="6"/>
        <v>5700</v>
      </c>
      <c r="H129" s="95">
        <v>150</v>
      </c>
      <c r="I129" s="118" t="s">
        <v>1</v>
      </c>
      <c r="J129" s="80"/>
      <c r="K129" s="80">
        <v>46181</v>
      </c>
      <c r="L129" s="74" t="s">
        <v>34</v>
      </c>
      <c r="M129" s="80"/>
      <c r="N129" s="80"/>
      <c r="O129" s="119">
        <f>SUM(Prospects5[[#This Row],[Column5]]*12)</f>
        <v>68400</v>
      </c>
      <c r="P129" s="81">
        <v>0</v>
      </c>
      <c r="Q129" s="235" t="s">
        <v>272</v>
      </c>
    </row>
    <row r="130" spans="1:17" s="172" customFormat="1" ht="15" customHeight="1">
      <c r="A130" s="34">
        <v>112</v>
      </c>
      <c r="B130" s="34" t="s">
        <v>460</v>
      </c>
      <c r="C130" s="233" t="s">
        <v>273</v>
      </c>
      <c r="D130" s="94" t="s">
        <v>45</v>
      </c>
      <c r="E130" s="94" t="s">
        <v>46</v>
      </c>
      <c r="F130" s="234">
        <v>38</v>
      </c>
      <c r="G130" s="117">
        <f t="shared" si="6"/>
        <v>5700</v>
      </c>
      <c r="H130" s="95">
        <v>150</v>
      </c>
      <c r="I130" s="118" t="s">
        <v>1</v>
      </c>
      <c r="J130" s="80"/>
      <c r="K130" s="80">
        <v>46181</v>
      </c>
      <c r="L130" s="81" t="s">
        <v>34</v>
      </c>
      <c r="M130" s="80"/>
      <c r="N130" s="80"/>
      <c r="O130" s="119">
        <f>SUM(Prospects5[[#This Row],[Column5]]*12)</f>
        <v>68400</v>
      </c>
      <c r="P130" s="81">
        <v>0</v>
      </c>
      <c r="Q130" s="235" t="s">
        <v>274</v>
      </c>
    </row>
    <row r="131" spans="1:17" s="172" customFormat="1" ht="15" customHeight="1">
      <c r="A131" s="34">
        <v>113</v>
      </c>
      <c r="B131" s="34" t="s">
        <v>460</v>
      </c>
      <c r="C131" s="233" t="s">
        <v>275</v>
      </c>
      <c r="D131" s="94" t="s">
        <v>45</v>
      </c>
      <c r="E131" s="94" t="s">
        <v>46</v>
      </c>
      <c r="F131" s="234">
        <v>38</v>
      </c>
      <c r="G131" s="117">
        <f t="shared" si="6"/>
        <v>5700</v>
      </c>
      <c r="H131" s="95">
        <v>150</v>
      </c>
      <c r="I131" s="118" t="s">
        <v>1</v>
      </c>
      <c r="J131" s="80"/>
      <c r="K131" s="80">
        <v>46181</v>
      </c>
      <c r="L131" s="74" t="s">
        <v>34</v>
      </c>
      <c r="M131" s="80"/>
      <c r="N131" s="80"/>
      <c r="O131" s="119">
        <f>SUM(Prospects5[[#This Row],[Column5]]*12)</f>
        <v>68400</v>
      </c>
      <c r="P131" s="81">
        <v>0</v>
      </c>
      <c r="Q131" s="235" t="s">
        <v>276</v>
      </c>
    </row>
    <row r="132" spans="1:17" s="172" customFormat="1" ht="15" customHeight="1">
      <c r="A132" s="34">
        <v>114</v>
      </c>
      <c r="B132" s="34" t="s">
        <v>458</v>
      </c>
      <c r="C132" s="233" t="s">
        <v>277</v>
      </c>
      <c r="D132" s="94" t="s">
        <v>45</v>
      </c>
      <c r="E132" s="94" t="s">
        <v>46</v>
      </c>
      <c r="F132" s="234">
        <v>37</v>
      </c>
      <c r="G132" s="117">
        <f t="shared" si="6"/>
        <v>5550</v>
      </c>
      <c r="H132" s="95">
        <v>150</v>
      </c>
      <c r="I132" s="118" t="s">
        <v>1</v>
      </c>
      <c r="J132" s="80"/>
      <c r="K132" s="80">
        <v>46181</v>
      </c>
      <c r="L132" s="81" t="s">
        <v>34</v>
      </c>
      <c r="M132" s="80"/>
      <c r="N132" s="80"/>
      <c r="O132" s="119">
        <f>SUM(Prospects5[[#This Row],[Column5]]*12)</f>
        <v>66600</v>
      </c>
      <c r="P132" s="81">
        <v>0</v>
      </c>
      <c r="Q132" s="235" t="s">
        <v>278</v>
      </c>
    </row>
    <row r="133" spans="1:17" s="172" customFormat="1" ht="15" customHeight="1">
      <c r="A133" s="34">
        <v>115</v>
      </c>
      <c r="B133" s="34" t="s">
        <v>460</v>
      </c>
      <c r="C133" s="233" t="s">
        <v>279</v>
      </c>
      <c r="D133" s="94" t="s">
        <v>45</v>
      </c>
      <c r="E133" s="94" t="s">
        <v>46</v>
      </c>
      <c r="F133" s="234">
        <v>37</v>
      </c>
      <c r="G133" s="117">
        <f t="shared" si="6"/>
        <v>5550</v>
      </c>
      <c r="H133" s="95">
        <v>150</v>
      </c>
      <c r="I133" s="118" t="s">
        <v>1</v>
      </c>
      <c r="J133" s="80"/>
      <c r="K133" s="80">
        <v>46181</v>
      </c>
      <c r="L133" s="74" t="s">
        <v>34</v>
      </c>
      <c r="M133" s="80"/>
      <c r="N133" s="80"/>
      <c r="O133" s="119">
        <f>SUM(Prospects5[[#This Row],[Column5]]*12)</f>
        <v>66600</v>
      </c>
      <c r="P133" s="81">
        <v>0</v>
      </c>
      <c r="Q133" s="235" t="s">
        <v>280</v>
      </c>
    </row>
    <row r="134" spans="1:17" s="172" customFormat="1" ht="15" customHeight="1">
      <c r="A134" s="34">
        <v>116</v>
      </c>
      <c r="B134" s="34" t="s">
        <v>460</v>
      </c>
      <c r="C134" s="233" t="s">
        <v>281</v>
      </c>
      <c r="D134" s="94" t="s">
        <v>45</v>
      </c>
      <c r="E134" s="94" t="s">
        <v>46</v>
      </c>
      <c r="F134" s="234">
        <v>37</v>
      </c>
      <c r="G134" s="117">
        <f t="shared" si="6"/>
        <v>5550</v>
      </c>
      <c r="H134" s="95">
        <v>150</v>
      </c>
      <c r="I134" s="118" t="s">
        <v>1</v>
      </c>
      <c r="J134" s="80"/>
      <c r="K134" s="80">
        <v>46181</v>
      </c>
      <c r="L134" s="81" t="s">
        <v>34</v>
      </c>
      <c r="M134" s="80"/>
      <c r="N134" s="80"/>
      <c r="O134" s="119">
        <f>SUM(Prospects5[[#This Row],[Column5]]*12)</f>
        <v>66600</v>
      </c>
      <c r="P134" s="81">
        <v>0</v>
      </c>
      <c r="Q134" s="235" t="s">
        <v>282</v>
      </c>
    </row>
    <row r="135" spans="1:17" s="172" customFormat="1" ht="15" customHeight="1">
      <c r="A135" s="34">
        <v>117</v>
      </c>
      <c r="B135" s="34" t="s">
        <v>460</v>
      </c>
      <c r="C135" s="233" t="s">
        <v>283</v>
      </c>
      <c r="D135" s="94" t="s">
        <v>45</v>
      </c>
      <c r="E135" s="94" t="s">
        <v>46</v>
      </c>
      <c r="F135" s="234">
        <v>37</v>
      </c>
      <c r="G135" s="117">
        <f t="shared" si="6"/>
        <v>5550</v>
      </c>
      <c r="H135" s="95">
        <v>150</v>
      </c>
      <c r="I135" s="118" t="s">
        <v>1</v>
      </c>
      <c r="J135" s="80"/>
      <c r="K135" s="80">
        <v>46181</v>
      </c>
      <c r="L135" s="74" t="s">
        <v>34</v>
      </c>
      <c r="M135" s="80"/>
      <c r="N135" s="80"/>
      <c r="O135" s="119">
        <f>SUM(Prospects5[[#This Row],[Column5]]*12)</f>
        <v>66600</v>
      </c>
      <c r="P135" s="81">
        <v>0</v>
      </c>
      <c r="Q135" s="235" t="s">
        <v>284</v>
      </c>
    </row>
    <row r="136" spans="1:17" s="172" customFormat="1" ht="15" customHeight="1">
      <c r="A136" s="34">
        <v>118</v>
      </c>
      <c r="B136" s="34" t="s">
        <v>458</v>
      </c>
      <c r="C136" s="233" t="s">
        <v>285</v>
      </c>
      <c r="D136" s="94" t="s">
        <v>45</v>
      </c>
      <c r="E136" s="94" t="s">
        <v>46</v>
      </c>
      <c r="F136" s="234">
        <v>36</v>
      </c>
      <c r="G136" s="117">
        <f t="shared" si="6"/>
        <v>5400</v>
      </c>
      <c r="H136" s="95">
        <v>150</v>
      </c>
      <c r="I136" s="118" t="s">
        <v>1</v>
      </c>
      <c r="J136" s="80"/>
      <c r="K136" s="80">
        <v>46181</v>
      </c>
      <c r="L136" s="81" t="s">
        <v>34</v>
      </c>
      <c r="M136" s="80"/>
      <c r="N136" s="80"/>
      <c r="O136" s="119">
        <f>SUM(Prospects5[[#This Row],[Column5]]*12)</f>
        <v>64800</v>
      </c>
      <c r="P136" s="81">
        <v>0</v>
      </c>
      <c r="Q136" s="235" t="s">
        <v>286</v>
      </c>
    </row>
    <row r="137" spans="1:17" s="172" customFormat="1" ht="15" customHeight="1">
      <c r="A137" s="34">
        <v>119</v>
      </c>
      <c r="B137" s="34" t="s">
        <v>460</v>
      </c>
      <c r="C137" s="233" t="s">
        <v>287</v>
      </c>
      <c r="D137" s="94" t="s">
        <v>45</v>
      </c>
      <c r="E137" s="94" t="s">
        <v>46</v>
      </c>
      <c r="F137" s="234">
        <v>36</v>
      </c>
      <c r="G137" s="117">
        <f t="shared" si="6"/>
        <v>5400</v>
      </c>
      <c r="H137" s="95">
        <v>150</v>
      </c>
      <c r="I137" s="118" t="s">
        <v>1</v>
      </c>
      <c r="J137" s="80"/>
      <c r="K137" s="80">
        <v>46181</v>
      </c>
      <c r="L137" s="74" t="s">
        <v>34</v>
      </c>
      <c r="M137" s="80"/>
      <c r="N137" s="80"/>
      <c r="O137" s="119">
        <f>SUM(Prospects5[[#This Row],[Column5]]*12)</f>
        <v>64800</v>
      </c>
      <c r="P137" s="81">
        <v>0</v>
      </c>
      <c r="Q137" s="235" t="s">
        <v>288</v>
      </c>
    </row>
    <row r="138" spans="1:17" s="172" customFormat="1" ht="15" customHeight="1">
      <c r="A138" s="34">
        <v>120</v>
      </c>
      <c r="B138" s="34" t="s">
        <v>458</v>
      </c>
      <c r="C138" s="233" t="s">
        <v>289</v>
      </c>
      <c r="D138" s="94" t="s">
        <v>45</v>
      </c>
      <c r="E138" s="94" t="s">
        <v>46</v>
      </c>
      <c r="F138" s="234">
        <v>36</v>
      </c>
      <c r="G138" s="117">
        <f t="shared" si="6"/>
        <v>5400</v>
      </c>
      <c r="H138" s="95">
        <v>150</v>
      </c>
      <c r="I138" s="118" t="s">
        <v>1</v>
      </c>
      <c r="J138" s="80"/>
      <c r="K138" s="80">
        <v>46181</v>
      </c>
      <c r="L138" s="81" t="s">
        <v>34</v>
      </c>
      <c r="M138" s="80"/>
      <c r="N138" s="80"/>
      <c r="O138" s="119">
        <f>SUM(Prospects5[[#This Row],[Column5]]*12)</f>
        <v>64800</v>
      </c>
      <c r="P138" s="81">
        <v>0</v>
      </c>
      <c r="Q138" s="235" t="s">
        <v>290</v>
      </c>
    </row>
    <row r="139" spans="1:17" s="172" customFormat="1" ht="15" customHeight="1">
      <c r="A139" s="34">
        <v>121</v>
      </c>
      <c r="B139" s="34" t="s">
        <v>460</v>
      </c>
      <c r="C139" s="233" t="s">
        <v>291</v>
      </c>
      <c r="D139" s="94" t="s">
        <v>45</v>
      </c>
      <c r="E139" s="94" t="s">
        <v>46</v>
      </c>
      <c r="F139" s="234">
        <v>36</v>
      </c>
      <c r="G139" s="117">
        <f t="shared" si="6"/>
        <v>5400</v>
      </c>
      <c r="H139" s="95">
        <v>150</v>
      </c>
      <c r="I139" s="118" t="s">
        <v>1</v>
      </c>
      <c r="J139" s="80"/>
      <c r="K139" s="80">
        <v>46181</v>
      </c>
      <c r="L139" s="74" t="s">
        <v>34</v>
      </c>
      <c r="M139" s="80"/>
      <c r="N139" s="80"/>
      <c r="O139" s="119">
        <f>SUM(Prospects5[[#This Row],[Column5]]*12)</f>
        <v>64800</v>
      </c>
      <c r="P139" s="81">
        <v>0</v>
      </c>
      <c r="Q139" s="235" t="s">
        <v>292</v>
      </c>
    </row>
    <row r="140" spans="1:17" s="172" customFormat="1" ht="15" customHeight="1">
      <c r="A140" s="34">
        <v>122</v>
      </c>
      <c r="B140" s="34" t="s">
        <v>460</v>
      </c>
      <c r="C140" s="233" t="s">
        <v>293</v>
      </c>
      <c r="D140" s="94" t="s">
        <v>45</v>
      </c>
      <c r="E140" s="94" t="s">
        <v>46</v>
      </c>
      <c r="F140" s="234">
        <v>35</v>
      </c>
      <c r="G140" s="117">
        <f t="shared" si="6"/>
        <v>5250</v>
      </c>
      <c r="H140" s="95">
        <v>150</v>
      </c>
      <c r="I140" s="118" t="s">
        <v>1</v>
      </c>
      <c r="J140" s="80"/>
      <c r="K140" s="80">
        <v>46181</v>
      </c>
      <c r="L140" s="81" t="s">
        <v>34</v>
      </c>
      <c r="M140" s="80"/>
      <c r="N140" s="80"/>
      <c r="O140" s="119">
        <f>SUM(Prospects5[[#This Row],[Column5]]*12)</f>
        <v>63000</v>
      </c>
      <c r="P140" s="81">
        <v>0</v>
      </c>
      <c r="Q140" s="235" t="s">
        <v>294</v>
      </c>
    </row>
    <row r="141" spans="1:17" s="172" customFormat="1" ht="15" customHeight="1">
      <c r="A141" s="34">
        <v>123</v>
      </c>
      <c r="B141" s="34" t="s">
        <v>458</v>
      </c>
      <c r="C141" s="233" t="s">
        <v>296</v>
      </c>
      <c r="D141" s="94" t="s">
        <v>32</v>
      </c>
      <c r="E141" s="94" t="s">
        <v>46</v>
      </c>
      <c r="F141" s="234">
        <v>35</v>
      </c>
      <c r="G141" s="117">
        <f t="shared" ref="G141" si="7">SUM(H141*F141)</f>
        <v>5250</v>
      </c>
      <c r="H141" s="95">
        <v>150</v>
      </c>
      <c r="I141" s="118" t="s">
        <v>1</v>
      </c>
      <c r="J141" s="80"/>
      <c r="K141" s="80">
        <v>46195</v>
      </c>
      <c r="L141" s="81" t="s">
        <v>34</v>
      </c>
      <c r="M141" s="80">
        <v>46195</v>
      </c>
      <c r="N141" s="80">
        <v>46197</v>
      </c>
      <c r="O141" s="119">
        <f>SUM(Prospects5[[#This Row],[Column5]]*12)</f>
        <v>63000</v>
      </c>
      <c r="P141" s="81">
        <v>0</v>
      </c>
      <c r="Q141" s="235" t="s">
        <v>297</v>
      </c>
    </row>
    <row r="142" spans="1:17" s="172" customFormat="1" ht="15" customHeight="1">
      <c r="A142" s="34">
        <v>124</v>
      </c>
      <c r="B142" s="34" t="s">
        <v>460</v>
      </c>
      <c r="C142" s="233" t="s">
        <v>298</v>
      </c>
      <c r="D142" s="94" t="s">
        <v>32</v>
      </c>
      <c r="E142" s="94" t="s">
        <v>46</v>
      </c>
      <c r="F142" s="234">
        <v>35</v>
      </c>
      <c r="G142" s="117">
        <f t="shared" ref="G142" si="8">SUM(H142*F142)</f>
        <v>5250</v>
      </c>
      <c r="H142" s="95">
        <v>150</v>
      </c>
      <c r="I142" s="118" t="s">
        <v>1</v>
      </c>
      <c r="J142" s="80"/>
      <c r="K142" s="73">
        <v>46195</v>
      </c>
      <c r="L142" s="74" t="s">
        <v>34</v>
      </c>
      <c r="M142" s="73">
        <v>46195</v>
      </c>
      <c r="N142" s="73">
        <v>46197</v>
      </c>
      <c r="O142" s="75">
        <f>SUM(Prospects5[[#This Row],[Column5]]*12)</f>
        <v>63000</v>
      </c>
      <c r="P142" s="74">
        <v>0</v>
      </c>
      <c r="Q142" s="76" t="s">
        <v>297</v>
      </c>
    </row>
    <row r="143" spans="1:17" s="172" customFormat="1" ht="15" customHeight="1">
      <c r="A143" s="34">
        <v>125</v>
      </c>
      <c r="B143" s="34" t="s">
        <v>458</v>
      </c>
      <c r="C143" s="233" t="s">
        <v>299</v>
      </c>
      <c r="D143" s="94" t="s">
        <v>32</v>
      </c>
      <c r="E143" s="94" t="s">
        <v>46</v>
      </c>
      <c r="F143" s="234">
        <v>35</v>
      </c>
      <c r="G143" s="117">
        <f t="shared" ref="G143" si="9">SUM(H143*F143)</f>
        <v>5250</v>
      </c>
      <c r="H143" s="95">
        <v>150</v>
      </c>
      <c r="I143" s="118" t="s">
        <v>1</v>
      </c>
      <c r="J143" s="80"/>
      <c r="K143" s="73">
        <v>46195</v>
      </c>
      <c r="L143" s="74" t="s">
        <v>34</v>
      </c>
      <c r="M143" s="73">
        <v>46195</v>
      </c>
      <c r="N143" s="73">
        <v>46197</v>
      </c>
      <c r="O143" s="75">
        <f>SUM(Prospects5[[#This Row],[Column5]]*12)</f>
        <v>63000</v>
      </c>
      <c r="P143" s="74">
        <v>0</v>
      </c>
      <c r="Q143" s="76" t="s">
        <v>297</v>
      </c>
    </row>
    <row r="144" spans="1:17" s="172" customFormat="1" ht="15" customHeight="1">
      <c r="A144" s="34">
        <v>126</v>
      </c>
      <c r="B144" s="34" t="s">
        <v>460</v>
      </c>
      <c r="C144" s="233" t="s">
        <v>300</v>
      </c>
      <c r="D144" s="94" t="s">
        <v>32</v>
      </c>
      <c r="E144" s="94" t="s">
        <v>46</v>
      </c>
      <c r="F144" s="234">
        <v>35</v>
      </c>
      <c r="G144" s="117">
        <f t="shared" ref="G144" si="10">SUM(H144*F144)</f>
        <v>5250</v>
      </c>
      <c r="H144" s="95">
        <v>150</v>
      </c>
      <c r="I144" s="118" t="s">
        <v>1</v>
      </c>
      <c r="J144" s="80"/>
      <c r="K144" s="73">
        <v>46195</v>
      </c>
      <c r="L144" s="74" t="s">
        <v>34</v>
      </c>
      <c r="M144" s="73">
        <v>46195</v>
      </c>
      <c r="N144" s="73">
        <v>46197</v>
      </c>
      <c r="O144" s="75">
        <f>SUM(Prospects5[[#This Row],[Column5]]*12)</f>
        <v>63000</v>
      </c>
      <c r="P144" s="74">
        <v>0</v>
      </c>
      <c r="Q144" s="76" t="s">
        <v>297</v>
      </c>
    </row>
    <row r="145" spans="1:17" s="172" customFormat="1" ht="15" customHeight="1">
      <c r="A145" s="34">
        <v>127</v>
      </c>
      <c r="B145" s="34" t="s">
        <v>460</v>
      </c>
      <c r="C145" s="233" t="s">
        <v>450</v>
      </c>
      <c r="D145" s="94" t="s">
        <v>32</v>
      </c>
      <c r="E145" s="94" t="s">
        <v>46</v>
      </c>
      <c r="F145" s="234">
        <v>200</v>
      </c>
      <c r="G145" s="117">
        <f t="shared" ref="G145" si="11">SUM(H145*F145)</f>
        <v>30000</v>
      </c>
      <c r="H145" s="95">
        <v>150</v>
      </c>
      <c r="I145" s="264" t="s">
        <v>1</v>
      </c>
      <c r="J145" s="80"/>
      <c r="K145" s="73">
        <v>46198</v>
      </c>
      <c r="L145" s="262" t="s">
        <v>34</v>
      </c>
      <c r="M145" s="73">
        <v>46198</v>
      </c>
      <c r="N145" s="73">
        <v>46203</v>
      </c>
      <c r="O145" s="75">
        <f>SUM(Prospects5[[#This Row],[Column5]]*12)</f>
        <v>360000</v>
      </c>
      <c r="P145" s="74">
        <v>2</v>
      </c>
      <c r="Q145" s="76" t="s">
        <v>451</v>
      </c>
    </row>
    <row r="146" spans="1:17" s="172" customFormat="1" ht="15" customHeight="1">
      <c r="A146" s="34">
        <v>128</v>
      </c>
      <c r="B146" s="34" t="s">
        <v>460</v>
      </c>
      <c r="C146" s="233" t="s">
        <v>454</v>
      </c>
      <c r="D146" s="94" t="s">
        <v>32</v>
      </c>
      <c r="E146" s="94" t="s">
        <v>46</v>
      </c>
      <c r="F146" s="234">
        <v>65</v>
      </c>
      <c r="G146" s="117">
        <f t="shared" ref="G146" si="12">SUM(H146*F146)</f>
        <v>9750</v>
      </c>
      <c r="H146" s="95">
        <v>150</v>
      </c>
      <c r="I146" s="264" t="s">
        <v>1</v>
      </c>
      <c r="J146" s="80"/>
      <c r="K146" s="80">
        <v>46198</v>
      </c>
      <c r="L146" s="265" t="s">
        <v>34</v>
      </c>
      <c r="M146" s="80">
        <v>46198</v>
      </c>
      <c r="N146" s="80">
        <v>46203</v>
      </c>
      <c r="O146" s="119">
        <f>SUM(Prospects5[[#This Row],[Column5]]*12)</f>
        <v>117000</v>
      </c>
      <c r="P146" s="81">
        <v>1</v>
      </c>
      <c r="Q146" s="235" t="s">
        <v>455</v>
      </c>
    </row>
    <row r="147" spans="1:17" ht="15" customHeight="1" thickBot="1">
      <c r="C147" s="35" t="s">
        <v>301</v>
      </c>
      <c r="D147" s="35"/>
      <c r="E147" s="35"/>
      <c r="F147" s="219">
        <f>SUM(F19:F146)</f>
        <v>7864</v>
      </c>
      <c r="G147" s="220">
        <f>SUM(G19:G146)</f>
        <v>1179600</v>
      </c>
      <c r="H147" s="162">
        <f>AVERAGE(H19:H38)</f>
        <v>150</v>
      </c>
      <c r="I147" s="163"/>
      <c r="J147" s="164"/>
      <c r="K147" s="164"/>
      <c r="L147" s="165"/>
      <c r="M147" s="164"/>
      <c r="N147" s="165"/>
      <c r="O147" s="220">
        <f>SUM(O19:O146)</f>
        <v>14155200</v>
      </c>
      <c r="P147" s="165"/>
    </row>
    <row r="148" spans="1:17" ht="15" customHeight="1">
      <c r="F148" s="177"/>
    </row>
    <row r="149" spans="1:17" ht="15" customHeight="1">
      <c r="F149" s="177"/>
    </row>
    <row r="150" spans="1:17" ht="9" customHeight="1" thickBot="1"/>
    <row r="151" spans="1:17" ht="15" customHeight="1" thickBot="1">
      <c r="C151" s="59" t="s">
        <v>302</v>
      </c>
      <c r="F151" s="177"/>
    </row>
    <row r="152" spans="1:17" ht="15" customHeight="1" thickBot="1">
      <c r="A152" s="4"/>
      <c r="B152" s="4"/>
      <c r="C152" s="13" t="s">
        <v>16</v>
      </c>
      <c r="D152" s="14" t="s">
        <v>17</v>
      </c>
      <c r="E152" s="14" t="s">
        <v>18</v>
      </c>
      <c r="F152" s="15" t="s">
        <v>19</v>
      </c>
      <c r="G152" s="28" t="s">
        <v>55</v>
      </c>
      <c r="H152" s="16" t="s">
        <v>21</v>
      </c>
      <c r="I152" s="17" t="s">
        <v>303</v>
      </c>
      <c r="J152" s="21" t="s">
        <v>23</v>
      </c>
      <c r="K152" s="21" t="s">
        <v>24</v>
      </c>
      <c r="L152" s="18" t="s">
        <v>57</v>
      </c>
      <c r="M152" s="24" t="s">
        <v>28</v>
      </c>
      <c r="O152" s="156"/>
      <c r="P152" s="156"/>
      <c r="Q152" s="156"/>
    </row>
    <row r="153" spans="1:17" ht="15" customHeight="1">
      <c r="A153" s="4"/>
      <c r="B153" s="4"/>
      <c r="C153" s="83">
        <v>2025</v>
      </c>
      <c r="D153" s="84"/>
      <c r="E153" s="84"/>
      <c r="F153" s="85"/>
      <c r="G153" s="86"/>
      <c r="H153" s="87"/>
      <c r="I153" s="88"/>
      <c r="J153" s="89"/>
      <c r="K153" s="89"/>
      <c r="L153" s="90"/>
      <c r="M153" s="89"/>
      <c r="O153" s="156"/>
      <c r="P153" s="156"/>
      <c r="Q153" s="156"/>
    </row>
    <row r="154" spans="1:17" ht="15" customHeight="1">
      <c r="A154" s="4"/>
      <c r="B154" s="4"/>
      <c r="C154" s="179" t="s">
        <v>304</v>
      </c>
      <c r="D154" s="180" t="s">
        <v>45</v>
      </c>
      <c r="E154" s="181" t="s">
        <v>305</v>
      </c>
      <c r="F154" s="182">
        <v>10</v>
      </c>
      <c r="G154" s="183">
        <v>2000</v>
      </c>
      <c r="H154" s="184">
        <f t="shared" ref="H154:H161" si="13">IFERROR(G154/F154,"--")</f>
        <v>200</v>
      </c>
      <c r="J154" s="169">
        <v>45880</v>
      </c>
      <c r="M154" s="185">
        <f>SUM(G154*12)</f>
        <v>24000</v>
      </c>
    </row>
    <row r="155" spans="1:17" ht="15" customHeight="1">
      <c r="A155" s="4"/>
      <c r="B155" s="4"/>
      <c r="C155" s="186" t="s">
        <v>306</v>
      </c>
      <c r="D155" s="187" t="s">
        <v>45</v>
      </c>
      <c r="E155" s="188" t="s">
        <v>305</v>
      </c>
      <c r="F155" s="189">
        <v>25</v>
      </c>
      <c r="G155" s="190">
        <v>2000</v>
      </c>
      <c r="H155" s="191">
        <f t="shared" si="13"/>
        <v>80</v>
      </c>
      <c r="I155" s="192"/>
      <c r="J155" s="193">
        <v>45817</v>
      </c>
      <c r="K155" s="193"/>
      <c r="L155" s="186"/>
      <c r="M155" s="185">
        <f t="shared" ref="M155:M161" si="14">SUM(G155*12)</f>
        <v>24000</v>
      </c>
    </row>
    <row r="156" spans="1:17" ht="15" customHeight="1">
      <c r="A156" s="4"/>
      <c r="B156" s="4"/>
      <c r="C156" s="186" t="s">
        <v>307</v>
      </c>
      <c r="D156" s="187" t="s">
        <v>45</v>
      </c>
      <c r="E156" s="188" t="s">
        <v>305</v>
      </c>
      <c r="F156" s="189">
        <v>27</v>
      </c>
      <c r="G156" s="190">
        <v>2700</v>
      </c>
      <c r="H156" s="191">
        <f t="shared" si="13"/>
        <v>100</v>
      </c>
      <c r="I156" s="192"/>
      <c r="J156" s="193">
        <v>45870</v>
      </c>
      <c r="K156" s="193"/>
      <c r="L156" s="186"/>
      <c r="M156" s="185">
        <f t="shared" si="14"/>
        <v>32400</v>
      </c>
    </row>
    <row r="157" spans="1:17" ht="15" customHeight="1">
      <c r="A157" s="4"/>
      <c r="B157" s="4"/>
      <c r="C157" s="186" t="s">
        <v>308</v>
      </c>
      <c r="D157" s="187" t="s">
        <v>45</v>
      </c>
      <c r="E157" s="188" t="s">
        <v>309</v>
      </c>
      <c r="F157" s="189">
        <v>40</v>
      </c>
      <c r="G157" s="190">
        <v>2200</v>
      </c>
      <c r="H157" s="191">
        <f t="shared" si="13"/>
        <v>55</v>
      </c>
      <c r="I157" s="192"/>
      <c r="J157" s="193">
        <v>45852</v>
      </c>
      <c r="K157" s="193"/>
      <c r="L157" s="186"/>
      <c r="M157" s="185">
        <f t="shared" si="14"/>
        <v>26400</v>
      </c>
    </row>
    <row r="158" spans="1:17" ht="15" customHeight="1">
      <c r="C158" s="186" t="s">
        <v>310</v>
      </c>
      <c r="D158" s="187" t="s">
        <v>45</v>
      </c>
      <c r="E158" s="188" t="s">
        <v>305</v>
      </c>
      <c r="F158" s="189">
        <v>14</v>
      </c>
      <c r="G158" s="194">
        <v>1400</v>
      </c>
      <c r="H158" s="191">
        <f t="shared" si="13"/>
        <v>100</v>
      </c>
      <c r="I158" s="192"/>
      <c r="J158" s="193">
        <v>45761</v>
      </c>
      <c r="K158" s="193"/>
      <c r="L158" s="186"/>
      <c r="M158" s="185">
        <f t="shared" si="14"/>
        <v>16800</v>
      </c>
    </row>
    <row r="159" spans="1:17" ht="15" customHeight="1">
      <c r="C159" s="186" t="s">
        <v>311</v>
      </c>
      <c r="D159" s="187" t="s">
        <v>45</v>
      </c>
      <c r="E159" s="188" t="s">
        <v>305</v>
      </c>
      <c r="F159" s="189">
        <v>30</v>
      </c>
      <c r="G159" s="194">
        <v>3000</v>
      </c>
      <c r="H159" s="191">
        <f t="shared" si="13"/>
        <v>100</v>
      </c>
      <c r="I159" s="192"/>
      <c r="J159" s="193">
        <v>45745</v>
      </c>
      <c r="K159" s="193"/>
      <c r="L159" s="186"/>
      <c r="M159" s="185">
        <f t="shared" si="14"/>
        <v>36000</v>
      </c>
    </row>
    <row r="160" spans="1:17" ht="15" customHeight="1">
      <c r="C160" s="195" t="s">
        <v>312</v>
      </c>
      <c r="D160" s="187" t="s">
        <v>45</v>
      </c>
      <c r="E160" s="196" t="s">
        <v>313</v>
      </c>
      <c r="F160" s="189">
        <v>56</v>
      </c>
      <c r="G160" s="194">
        <v>5600</v>
      </c>
      <c r="H160" s="191">
        <f t="shared" si="13"/>
        <v>100</v>
      </c>
      <c r="I160" s="192"/>
      <c r="J160" s="193">
        <v>45910</v>
      </c>
      <c r="K160" s="193"/>
      <c r="L160" s="186"/>
      <c r="M160" s="185">
        <f t="shared" si="14"/>
        <v>67200</v>
      </c>
    </row>
    <row r="161" spans="3:17" ht="15" customHeight="1">
      <c r="C161" s="197" t="s">
        <v>314</v>
      </c>
      <c r="D161" s="198" t="s">
        <v>315</v>
      </c>
      <c r="E161" s="188" t="s">
        <v>316</v>
      </c>
      <c r="F161" s="199">
        <v>60</v>
      </c>
      <c r="G161" s="200">
        <v>4500</v>
      </c>
      <c r="H161" s="191">
        <f t="shared" si="13"/>
        <v>75</v>
      </c>
      <c r="I161" s="192"/>
      <c r="J161" s="193">
        <v>45946</v>
      </c>
      <c r="K161" s="193"/>
      <c r="L161" s="186"/>
      <c r="M161" s="185">
        <f t="shared" si="14"/>
        <v>54000</v>
      </c>
    </row>
    <row r="162" spans="3:17" ht="15" customHeight="1">
      <c r="C162" s="91"/>
      <c r="D162" s="10"/>
      <c r="E162" s="10"/>
      <c r="F162" s="201">
        <f>SUM(F151:F161)</f>
        <v>262</v>
      </c>
      <c r="G162" s="202">
        <f>SUM(G154:G161)</f>
        <v>23400</v>
      </c>
      <c r="H162" s="203">
        <f>IFERROR(AVERAGE(H154:H161),"--")</f>
        <v>101.25</v>
      </c>
      <c r="I162" s="204"/>
      <c r="J162" s="205"/>
      <c r="K162" s="205"/>
      <c r="L162" s="206"/>
      <c r="M162" s="207">
        <f>SUM(M154:M161)</f>
        <v>280800</v>
      </c>
    </row>
    <row r="163" spans="3:17" ht="15" customHeight="1">
      <c r="C163" s="83">
        <v>2026</v>
      </c>
      <c r="D163" s="84"/>
      <c r="E163" s="84"/>
      <c r="F163" s="85"/>
      <c r="G163" s="86"/>
      <c r="H163" s="87"/>
      <c r="I163" s="88"/>
      <c r="J163" s="89"/>
      <c r="K163" s="89"/>
      <c r="L163" s="90"/>
      <c r="M163" s="89"/>
      <c r="O163" s="156"/>
      <c r="P163" s="156"/>
      <c r="Q163" s="156"/>
    </row>
    <row r="164" spans="3:17" ht="15" customHeight="1">
      <c r="C164" s="172" t="s">
        <v>317</v>
      </c>
      <c r="D164" s="172" t="s">
        <v>45</v>
      </c>
      <c r="E164" s="208" t="s">
        <v>305</v>
      </c>
      <c r="F164" s="209">
        <v>10</v>
      </c>
      <c r="G164" s="210">
        <v>1000</v>
      </c>
      <c r="H164" s="211">
        <f>IFERROR(G164/F164,"--")</f>
        <v>100</v>
      </c>
      <c r="I164" s="212"/>
      <c r="J164" s="213">
        <v>46032</v>
      </c>
      <c r="K164" s="213"/>
      <c r="L164" s="111"/>
      <c r="M164" s="214">
        <f>SUM(G164*12)</f>
        <v>12000</v>
      </c>
    </row>
    <row r="165" spans="3:17" ht="15" customHeight="1">
      <c r="C165" s="111" t="s">
        <v>318</v>
      </c>
      <c r="D165" s="172" t="s">
        <v>45</v>
      </c>
      <c r="E165" s="208" t="s">
        <v>46</v>
      </c>
      <c r="F165" s="209">
        <v>8</v>
      </c>
      <c r="G165" s="210">
        <f>SUM(H165*F165)</f>
        <v>1000</v>
      </c>
      <c r="H165" s="211">
        <v>125</v>
      </c>
      <c r="I165" s="212"/>
      <c r="J165" s="213">
        <v>46147</v>
      </c>
      <c r="K165" s="213"/>
      <c r="L165" s="111"/>
      <c r="M165" s="214">
        <f>SUM(G165*12)</f>
        <v>12000</v>
      </c>
    </row>
    <row r="166" spans="3:17" ht="15" customHeight="1">
      <c r="C166" s="172"/>
      <c r="D166" s="172"/>
      <c r="E166" s="208"/>
      <c r="F166" s="209"/>
      <c r="G166" s="210"/>
      <c r="H166" s="211"/>
      <c r="I166" s="212"/>
      <c r="J166" s="213"/>
      <c r="K166" s="213"/>
      <c r="L166" s="111"/>
      <c r="M166" s="214"/>
    </row>
    <row r="167" spans="3:17" ht="15" customHeight="1">
      <c r="C167" s="172"/>
      <c r="D167" s="172"/>
      <c r="E167" s="208"/>
      <c r="F167" s="209"/>
      <c r="G167" s="210"/>
      <c r="H167" s="211"/>
      <c r="I167" s="212"/>
      <c r="J167" s="213"/>
      <c r="K167" s="213"/>
      <c r="L167" s="111"/>
      <c r="M167" s="214"/>
    </row>
    <row r="168" spans="3:17" ht="15" customHeight="1">
      <c r="C168" s="172"/>
      <c r="D168" s="172"/>
      <c r="E168" s="208"/>
      <c r="F168" s="209"/>
      <c r="G168" s="210"/>
      <c r="H168" s="211"/>
      <c r="I168" s="212"/>
      <c r="J168" s="213"/>
      <c r="K168" s="213"/>
      <c r="L168" s="111"/>
      <c r="M168" s="214"/>
    </row>
    <row r="169" spans="3:17" ht="15" customHeight="1">
      <c r="C169" s="91"/>
      <c r="D169" s="10"/>
      <c r="E169" s="10"/>
      <c r="F169" s="201">
        <f>SUM(F164:F168)</f>
        <v>18</v>
      </c>
      <c r="G169" s="202">
        <f>SUM(G164:G168)</f>
        <v>2000</v>
      </c>
      <c r="H169" s="203">
        <f>IFERROR(AVERAGE(H164:H168),"--")</f>
        <v>112.5</v>
      </c>
      <c r="I169" s="204"/>
      <c r="J169" s="205"/>
      <c r="K169" s="205"/>
      <c r="L169" s="206"/>
      <c r="M169" s="207">
        <f>SUM(M164:M168)</f>
        <v>24000</v>
      </c>
    </row>
    <row r="170" spans="3:17" ht="15" customHeight="1">
      <c r="C170" s="215"/>
      <c r="D170" s="215"/>
      <c r="E170" s="215"/>
      <c r="F170" s="215"/>
      <c r="G170" s="216"/>
      <c r="H170" s="215"/>
      <c r="I170" s="215"/>
      <c r="J170" s="217"/>
      <c r="K170" s="217"/>
    </row>
    <row r="171" spans="3:17" ht="15" customHeight="1">
      <c r="C171" s="10" t="s">
        <v>319</v>
      </c>
      <c r="D171" s="10"/>
      <c r="E171" s="10"/>
      <c r="F171" s="201">
        <f>F162+F169</f>
        <v>280</v>
      </c>
      <c r="G171" s="202">
        <f>G162+G169</f>
        <v>25400</v>
      </c>
      <c r="H171" s="203">
        <f>IFERROR(AVERAGE(H154:H170),"--")</f>
        <v>104.0625</v>
      </c>
      <c r="I171" s="204"/>
      <c r="J171" s="205"/>
      <c r="K171" s="205"/>
      <c r="L171" s="206"/>
      <c r="M171" s="207">
        <f>M162+M169</f>
        <v>304800</v>
      </c>
    </row>
  </sheetData>
  <sheetProtection formatCells="0" formatColumns="0" formatRows="0" insertColumns="0" insertRows="0" insertHyperlinks="0" deleteRows="0" selectLockedCells="1"/>
  <mergeCells count="6">
    <mergeCell ref="C17:Q17"/>
    <mergeCell ref="A1:P1"/>
    <mergeCell ref="J5:M5"/>
    <mergeCell ref="Q1:Q7"/>
    <mergeCell ref="C8:Q8"/>
    <mergeCell ref="J6:M6"/>
  </mergeCells>
  <phoneticPr fontId="19" type="noConversion"/>
  <conditionalFormatting sqref="I10:I14">
    <cfRule type="cellIs" dxfId="33" priority="1" operator="equal">
      <formula>0</formula>
    </cfRule>
  </conditionalFormatting>
  <conditionalFormatting sqref="I19:I146">
    <cfRule type="containsText" dxfId="32" priority="5" operator="containsText" text="could not reach">
      <formula>NOT(ISERROR(SEARCH("could not reach",I19)))</formula>
    </cfRule>
    <cfRule type="containsText" dxfId="31" priority="6" operator="containsText" text="Need more info">
      <formula>NOT(ISERROR(SEARCH("Need more info",I19)))</formula>
    </cfRule>
    <cfRule type="containsText" dxfId="30" priority="7" operator="containsText" text="Not a Fit">
      <formula>NOT(ISERROR(SEARCH("Not a Fit",I19)))</formula>
    </cfRule>
    <cfRule type="containsText" dxfId="29" priority="8" operator="containsText" text="Warm 250">
      <formula>NOT(ISERROR(SEARCH("Warm 250",I19)))</formula>
    </cfRule>
    <cfRule type="containsText" dxfId="28" priority="9" operator="containsText" text="prospect">
      <formula>NOT(ISERROR(SEARCH("prospect",I19)))</formula>
    </cfRule>
    <cfRule type="containsText" dxfId="27" priority="10" operator="containsText" text="suspect">
      <formula>NOT(ISERROR(SEARCH("suspect",I19)))</formula>
    </cfRule>
    <cfRule type="cellIs" dxfId="26" priority="11" operator="equal">
      <formula>"Suspect"</formula>
    </cfRule>
    <cfRule type="cellIs" dxfId="25" priority="14" operator="equal">
      <formula>"suspect"</formula>
    </cfRule>
  </conditionalFormatting>
  <dataValidations count="1">
    <dataValidation type="list" allowBlank="1" showInputMessage="1" showErrorMessage="1" sqref="I19:I146" xr:uid="{A0FD473C-679E-49AB-84F6-B1069F0F0DE0}">
      <formula1>$AA$1:$AA$8</formula1>
    </dataValidation>
  </dataValidations>
  <printOptions horizontalCentered="1" verticalCentered="1"/>
  <pageMargins left="0.25" right="0.25" top="0.75" bottom="0.75" header="0.3" footer="0.3"/>
  <pageSetup scale="70" fitToHeight="0" orientation="landscape" horizontalDpi="1200" verticalDpi="1200" r:id="rId1"/>
  <drawing r:id="rId2"/>
  <legacyDrawing r:id="rId3"/>
  <tableParts count="1">
    <tablePart r:id="rId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C7685-0961-4923-9407-E247637C6C8E}">
  <sheetPr>
    <tabColor rgb="FFFF0000"/>
    <pageSetUpPr fitToPage="1"/>
  </sheetPr>
  <dimension ref="A1:R60"/>
  <sheetViews>
    <sheetView showGridLines="0" topLeftCell="C45" zoomScale="130" zoomScaleNormal="130" workbookViewId="0">
      <selection activeCell="C54" sqref="C54"/>
    </sheetView>
  </sheetViews>
  <sheetFormatPr defaultColWidth="8.5703125" defaultRowHeight="12.75"/>
  <cols>
    <col min="1" max="1" width="6.42578125" style="33" customWidth="1"/>
    <col min="2" max="2" width="15.28515625" style="33" bestFit="1" customWidth="1"/>
    <col min="3" max="3" width="34" style="1" customWidth="1"/>
    <col min="4" max="4" width="17.42578125" style="1" customWidth="1"/>
    <col min="5" max="5" width="29.42578125" style="1" customWidth="1"/>
    <col min="6" max="6" width="14.140625" style="1" customWidth="1"/>
    <col min="7" max="7" width="13.5703125" style="27" bestFit="1" customWidth="1"/>
    <col min="8" max="8" width="12" style="1" bestFit="1" customWidth="1"/>
    <col min="9" max="9" width="10.140625" style="1" customWidth="1"/>
    <col min="10" max="10" width="11.42578125" style="12" bestFit="1" customWidth="1"/>
    <col min="11" max="11" width="17.85546875" style="12" bestFit="1" customWidth="1"/>
    <col min="12" max="12" width="11.140625" style="1" customWidth="1"/>
    <col min="13" max="13" width="14.5703125" style="12" bestFit="1" customWidth="1"/>
    <col min="14" max="14" width="15.42578125" style="1" bestFit="1" customWidth="1"/>
    <col min="15" max="15" width="15.85546875" style="1" bestFit="1" customWidth="1"/>
    <col min="16" max="16" width="11.140625" style="1" customWidth="1"/>
    <col min="17" max="17" width="236.7109375" style="1" bestFit="1" customWidth="1"/>
    <col min="18" max="18" width="4.5703125" style="8" bestFit="1" customWidth="1"/>
    <col min="19" max="16384" width="8.5703125" style="1"/>
  </cols>
  <sheetData>
    <row r="1" spans="1:18" ht="47.85" customHeight="1">
      <c r="A1" s="254" t="s">
        <v>320</v>
      </c>
      <c r="B1" s="254"/>
      <c r="C1" s="254"/>
      <c r="D1" s="254"/>
      <c r="E1" s="254"/>
      <c r="F1" s="254"/>
      <c r="G1" s="254"/>
      <c r="H1" s="254"/>
      <c r="I1" s="254"/>
      <c r="J1" s="254"/>
      <c r="K1" s="254"/>
      <c r="L1" s="254"/>
      <c r="M1" s="254"/>
      <c r="N1" s="254"/>
      <c r="O1" s="254"/>
      <c r="P1" s="254"/>
      <c r="Q1" s="255"/>
    </row>
    <row r="2" spans="1:18">
      <c r="A2" s="29"/>
      <c r="B2" s="29"/>
      <c r="C2" s="2"/>
      <c r="D2" s="2"/>
      <c r="E2" s="2"/>
      <c r="F2" s="2"/>
      <c r="G2" s="25"/>
      <c r="H2" s="2"/>
      <c r="I2" s="2"/>
      <c r="J2" s="19"/>
      <c r="K2" s="22"/>
      <c r="Q2" s="255"/>
    </row>
    <row r="3" spans="1:18">
      <c r="A3" s="29"/>
      <c r="B3" s="29"/>
      <c r="C3" s="2"/>
      <c r="D3" s="2"/>
      <c r="E3" s="2"/>
      <c r="F3" s="2"/>
      <c r="G3" s="25"/>
      <c r="H3" s="2"/>
      <c r="I3" s="2"/>
      <c r="J3" s="19"/>
      <c r="K3" s="22"/>
      <c r="Q3" s="8"/>
    </row>
    <row r="4" spans="1:18">
      <c r="A4" s="29"/>
      <c r="B4" s="29"/>
      <c r="C4" s="2"/>
      <c r="D4" s="2"/>
      <c r="E4" s="2"/>
      <c r="F4" s="2"/>
      <c r="G4" s="25"/>
      <c r="H4" s="2"/>
      <c r="I4" s="2"/>
      <c r="J4" s="19"/>
      <c r="K4" s="22"/>
      <c r="Q4" s="8"/>
    </row>
    <row r="5" spans="1:18">
      <c r="A5" s="29"/>
      <c r="B5" s="29"/>
      <c r="C5" s="2"/>
      <c r="D5" s="2"/>
      <c r="E5" s="2"/>
      <c r="F5" s="2"/>
      <c r="G5" s="25"/>
      <c r="H5" s="2"/>
      <c r="I5" s="2"/>
      <c r="J5" s="19"/>
      <c r="K5" s="22"/>
      <c r="Q5" s="8"/>
    </row>
    <row r="6" spans="1:18">
      <c r="A6" s="29"/>
      <c r="B6" s="29"/>
      <c r="C6" s="2"/>
      <c r="D6" s="2"/>
      <c r="E6" s="2"/>
      <c r="F6" s="2"/>
      <c r="G6" s="25"/>
      <c r="H6" s="2"/>
      <c r="I6" s="2"/>
      <c r="J6" s="19"/>
      <c r="K6" s="22"/>
      <c r="Q6" s="8"/>
    </row>
    <row r="7" spans="1:18">
      <c r="A7" s="29"/>
      <c r="B7" s="29"/>
      <c r="C7" s="2"/>
      <c r="D7" s="2"/>
      <c r="E7" s="2"/>
      <c r="F7" s="2"/>
      <c r="G7" s="25"/>
      <c r="H7" s="2"/>
      <c r="I7" s="2"/>
      <c r="J7" s="19"/>
      <c r="K7" s="22"/>
      <c r="Q7" s="8"/>
    </row>
    <row r="8" spans="1:18" hidden="1">
      <c r="A8" s="29"/>
      <c r="B8" s="29"/>
      <c r="C8" s="19">
        <f ca="1">TODAY()</f>
        <v>46202</v>
      </c>
      <c r="D8" s="2"/>
      <c r="E8" s="2"/>
      <c r="F8" s="2"/>
      <c r="G8" s="25"/>
      <c r="H8" s="2"/>
      <c r="I8" s="2"/>
      <c r="J8" s="19"/>
      <c r="K8" s="22"/>
      <c r="Q8" s="8"/>
    </row>
    <row r="9" spans="1:18" s="9" customFormat="1" ht="24" thickBot="1">
      <c r="A9" s="31"/>
      <c r="B9" s="31"/>
      <c r="C9" s="256" t="s">
        <v>8</v>
      </c>
      <c r="D9" s="257"/>
      <c r="E9" s="257"/>
      <c r="F9" s="257"/>
      <c r="G9" s="257"/>
      <c r="H9" s="257"/>
      <c r="I9" s="257"/>
      <c r="J9" s="257"/>
      <c r="K9" s="257"/>
      <c r="L9" s="257"/>
      <c r="M9" s="257"/>
      <c r="N9" s="257"/>
      <c r="O9" s="257"/>
      <c r="P9" s="257"/>
      <c r="Q9" s="257"/>
      <c r="R9" s="98"/>
    </row>
    <row r="10" spans="1:18" s="3" customFormat="1" ht="29.25" customHeight="1" thickBot="1">
      <c r="A10" s="32"/>
      <c r="B10" s="32"/>
      <c r="C10" s="43" t="s">
        <v>16</v>
      </c>
      <c r="D10" s="44" t="s">
        <v>17</v>
      </c>
      <c r="E10" s="44" t="s">
        <v>18</v>
      </c>
      <c r="F10" s="45" t="s">
        <v>19</v>
      </c>
      <c r="G10" s="45" t="s">
        <v>20</v>
      </c>
      <c r="H10" s="46" t="s">
        <v>21</v>
      </c>
      <c r="I10" s="47" t="s">
        <v>22</v>
      </c>
      <c r="J10" s="48" t="s">
        <v>23</v>
      </c>
      <c r="K10" s="48" t="s">
        <v>24</v>
      </c>
      <c r="L10" s="44" t="s">
        <v>25</v>
      </c>
      <c r="M10" s="48" t="s">
        <v>26</v>
      </c>
      <c r="N10" s="44" t="s">
        <v>27</v>
      </c>
      <c r="O10" s="44" t="s">
        <v>28</v>
      </c>
      <c r="P10" s="44" t="s">
        <v>29</v>
      </c>
      <c r="Q10" s="49" t="s">
        <v>30</v>
      </c>
      <c r="R10" s="96" t="s">
        <v>321</v>
      </c>
    </row>
    <row r="11" spans="1:18" s="30" customFormat="1">
      <c r="A11" s="4">
        <v>1</v>
      </c>
      <c r="B11" s="4" t="s">
        <v>460</v>
      </c>
      <c r="C11" s="228" t="s">
        <v>322</v>
      </c>
      <c r="D11" s="68" t="s">
        <v>45</v>
      </c>
      <c r="E11" s="68" t="s">
        <v>46</v>
      </c>
      <c r="F11" s="69">
        <v>40</v>
      </c>
      <c r="G11" s="70">
        <f>SUM(F11*H11)</f>
        <v>6000</v>
      </c>
      <c r="H11" s="71">
        <v>150</v>
      </c>
      <c r="I11" s="72">
        <v>0.65</v>
      </c>
      <c r="J11" s="73"/>
      <c r="K11" s="97">
        <v>45952</v>
      </c>
      <c r="L11" s="74" t="s">
        <v>34</v>
      </c>
      <c r="M11" s="73">
        <v>46133</v>
      </c>
      <c r="N11" s="73">
        <v>46204</v>
      </c>
      <c r="O11" s="75">
        <f t="shared" ref="O11:O48" si="0">SUM(G11*12)</f>
        <v>72000</v>
      </c>
      <c r="P11" s="74">
        <v>1</v>
      </c>
      <c r="Q11" s="76" t="s">
        <v>323</v>
      </c>
      <c r="R11" s="99">
        <f ca="1">C8-K11</f>
        <v>250</v>
      </c>
    </row>
    <row r="12" spans="1:18" s="30" customFormat="1">
      <c r="A12" s="4">
        <v>2</v>
      </c>
      <c r="B12" s="4" t="s">
        <v>459</v>
      </c>
      <c r="C12" s="68" t="s">
        <v>324</v>
      </c>
      <c r="D12" s="68" t="s">
        <v>32</v>
      </c>
      <c r="E12" s="68" t="s">
        <v>33</v>
      </c>
      <c r="F12" s="69">
        <v>40</v>
      </c>
      <c r="G12" s="70">
        <f t="shared" ref="G12:G25" si="1">SUM(F12*H12)</f>
        <v>6000</v>
      </c>
      <c r="H12" s="71">
        <v>150</v>
      </c>
      <c r="I12" s="72">
        <v>0.65</v>
      </c>
      <c r="J12" s="73"/>
      <c r="K12" s="97">
        <v>46100</v>
      </c>
      <c r="L12" s="74" t="s">
        <v>34</v>
      </c>
      <c r="M12" s="73">
        <v>46122</v>
      </c>
      <c r="N12" s="73">
        <v>46235</v>
      </c>
      <c r="O12" s="75">
        <f t="shared" si="0"/>
        <v>72000</v>
      </c>
      <c r="P12" s="74">
        <v>1</v>
      </c>
      <c r="Q12" s="76" t="s">
        <v>325</v>
      </c>
      <c r="R12" s="99">
        <f ca="1">C8-K12</f>
        <v>102</v>
      </c>
    </row>
    <row r="13" spans="1:18" s="30" customFormat="1">
      <c r="A13" s="4">
        <v>3</v>
      </c>
      <c r="B13" s="4" t="s">
        <v>459</v>
      </c>
      <c r="C13" s="68" t="s">
        <v>326</v>
      </c>
      <c r="D13" s="68" t="s">
        <v>32</v>
      </c>
      <c r="E13" s="68" t="s">
        <v>33</v>
      </c>
      <c r="F13" s="69">
        <v>30</v>
      </c>
      <c r="G13" s="70">
        <f t="shared" si="1"/>
        <v>4500</v>
      </c>
      <c r="H13" s="71">
        <v>150</v>
      </c>
      <c r="I13" s="72">
        <v>0.65</v>
      </c>
      <c r="J13" s="73"/>
      <c r="K13" s="97">
        <v>45839</v>
      </c>
      <c r="L13" s="74" t="s">
        <v>34</v>
      </c>
      <c r="M13" s="73">
        <v>46113</v>
      </c>
      <c r="N13" s="73">
        <v>46204</v>
      </c>
      <c r="O13" s="75">
        <f t="shared" si="0"/>
        <v>54000</v>
      </c>
      <c r="P13" s="74">
        <v>2</v>
      </c>
      <c r="Q13" s="76" t="s">
        <v>327</v>
      </c>
      <c r="R13" s="99">
        <f ca="1">C8-K13</f>
        <v>363</v>
      </c>
    </row>
    <row r="14" spans="1:18" s="30" customFormat="1">
      <c r="A14" s="4">
        <v>4</v>
      </c>
      <c r="B14" s="4" t="s">
        <v>459</v>
      </c>
      <c r="C14" s="230" t="s">
        <v>328</v>
      </c>
      <c r="D14" s="68" t="s">
        <v>32</v>
      </c>
      <c r="E14" s="68" t="s">
        <v>33</v>
      </c>
      <c r="F14" s="69">
        <v>20</v>
      </c>
      <c r="G14" s="70">
        <f t="shared" si="1"/>
        <v>3000</v>
      </c>
      <c r="H14" s="71">
        <v>150</v>
      </c>
      <c r="I14" s="72">
        <v>0.65</v>
      </c>
      <c r="J14" s="73"/>
      <c r="K14" s="97">
        <v>45778</v>
      </c>
      <c r="L14" s="74" t="s">
        <v>34</v>
      </c>
      <c r="M14" s="73">
        <v>46157</v>
      </c>
      <c r="N14" s="73">
        <v>46162</v>
      </c>
      <c r="O14" s="75">
        <f t="shared" si="0"/>
        <v>36000</v>
      </c>
      <c r="P14" s="74">
        <v>1</v>
      </c>
      <c r="Q14" s="76" t="s">
        <v>329</v>
      </c>
      <c r="R14" s="99">
        <f ca="1">C8-K14</f>
        <v>424</v>
      </c>
    </row>
    <row r="15" spans="1:18" s="30" customFormat="1">
      <c r="A15" s="4">
        <v>5</v>
      </c>
      <c r="B15" s="4" t="s">
        <v>459</v>
      </c>
      <c r="C15" s="68" t="s">
        <v>330</v>
      </c>
      <c r="D15" s="68" t="s">
        <v>45</v>
      </c>
      <c r="E15" s="68" t="s">
        <v>46</v>
      </c>
      <c r="F15" s="69">
        <v>20</v>
      </c>
      <c r="G15" s="70">
        <f t="shared" si="1"/>
        <v>3000</v>
      </c>
      <c r="H15" s="71">
        <v>150</v>
      </c>
      <c r="I15" s="72">
        <v>0.65</v>
      </c>
      <c r="J15" s="73"/>
      <c r="K15" s="97">
        <v>45742</v>
      </c>
      <c r="L15" s="74" t="s">
        <v>331</v>
      </c>
      <c r="M15" s="73">
        <v>46150</v>
      </c>
      <c r="N15" s="73">
        <v>46174</v>
      </c>
      <c r="O15" s="75">
        <f t="shared" si="0"/>
        <v>36000</v>
      </c>
      <c r="P15" s="74">
        <v>1</v>
      </c>
      <c r="Q15" s="76" t="s">
        <v>332</v>
      </c>
      <c r="R15" s="99">
        <f ca="1">C8-K15</f>
        <v>460</v>
      </c>
    </row>
    <row r="16" spans="1:18" s="30" customFormat="1">
      <c r="A16" s="4">
        <v>6</v>
      </c>
      <c r="B16" s="4" t="s">
        <v>459</v>
      </c>
      <c r="C16" s="68" t="s">
        <v>333</v>
      </c>
      <c r="D16" s="68" t="s">
        <v>32</v>
      </c>
      <c r="E16" s="68" t="s">
        <v>33</v>
      </c>
      <c r="F16" s="69">
        <v>24</v>
      </c>
      <c r="G16" s="70">
        <f t="shared" si="1"/>
        <v>3600</v>
      </c>
      <c r="H16" s="71">
        <v>150</v>
      </c>
      <c r="I16" s="72">
        <v>0.65</v>
      </c>
      <c r="J16" s="73"/>
      <c r="K16" s="97">
        <v>45938</v>
      </c>
      <c r="L16" s="74" t="s">
        <v>34</v>
      </c>
      <c r="M16" s="73">
        <v>46157</v>
      </c>
      <c r="N16" s="73">
        <v>46162</v>
      </c>
      <c r="O16" s="75">
        <f t="shared" si="0"/>
        <v>43200</v>
      </c>
      <c r="P16" s="74">
        <v>1</v>
      </c>
      <c r="Q16" s="76" t="s">
        <v>334</v>
      </c>
      <c r="R16" s="99">
        <f ca="1">C8-K16</f>
        <v>264</v>
      </c>
    </row>
    <row r="17" spans="1:18" s="30" customFormat="1">
      <c r="A17" s="4">
        <v>7</v>
      </c>
      <c r="B17" s="4" t="s">
        <v>460</v>
      </c>
      <c r="C17" s="231" t="s">
        <v>335</v>
      </c>
      <c r="D17" s="68" t="s">
        <v>32</v>
      </c>
      <c r="E17" s="68" t="s">
        <v>33</v>
      </c>
      <c r="F17" s="51">
        <v>20</v>
      </c>
      <c r="G17" s="70">
        <f t="shared" si="1"/>
        <v>3000</v>
      </c>
      <c r="H17" s="53">
        <v>150</v>
      </c>
      <c r="I17" s="54">
        <v>0.65</v>
      </c>
      <c r="J17" s="55"/>
      <c r="K17" s="93">
        <v>45409</v>
      </c>
      <c r="L17" s="56" t="s">
        <v>34</v>
      </c>
      <c r="M17" s="55">
        <v>46185</v>
      </c>
      <c r="N17" s="55">
        <v>46197</v>
      </c>
      <c r="O17" s="75">
        <f t="shared" si="0"/>
        <v>36000</v>
      </c>
      <c r="P17" s="56">
        <v>3</v>
      </c>
      <c r="Q17" s="58" t="s">
        <v>336</v>
      </c>
      <c r="R17" s="99">
        <f ca="1">C8-K17</f>
        <v>793</v>
      </c>
    </row>
    <row r="18" spans="1:18" s="30" customFormat="1">
      <c r="A18" s="4">
        <v>8</v>
      </c>
      <c r="B18" s="4" t="s">
        <v>459</v>
      </c>
      <c r="C18" s="100" t="s">
        <v>337</v>
      </c>
      <c r="D18" s="68" t="s">
        <v>32</v>
      </c>
      <c r="E18" s="68" t="s">
        <v>33</v>
      </c>
      <c r="F18" s="101">
        <v>50</v>
      </c>
      <c r="G18" s="70">
        <f t="shared" si="1"/>
        <v>7500</v>
      </c>
      <c r="H18" s="102">
        <v>150</v>
      </c>
      <c r="I18" s="103">
        <v>0.65</v>
      </c>
      <c r="J18" s="104"/>
      <c r="K18" s="105">
        <v>45444</v>
      </c>
      <c r="L18" s="106" t="s">
        <v>34</v>
      </c>
      <c r="M18" s="104">
        <v>46142</v>
      </c>
      <c r="N18" s="104">
        <v>46162</v>
      </c>
      <c r="O18" s="75">
        <f t="shared" si="0"/>
        <v>90000</v>
      </c>
      <c r="P18" s="106">
        <v>2</v>
      </c>
      <c r="Q18" s="107" t="s">
        <v>338</v>
      </c>
      <c r="R18" s="99">
        <f ca="1">C8-K18</f>
        <v>758</v>
      </c>
    </row>
    <row r="19" spans="1:18" s="30" customFormat="1">
      <c r="A19" s="4">
        <v>9</v>
      </c>
      <c r="B19" s="4" t="s">
        <v>459</v>
      </c>
      <c r="C19" s="237" t="s">
        <v>339</v>
      </c>
      <c r="D19" s="100" t="s">
        <v>32</v>
      </c>
      <c r="E19" s="100" t="s">
        <v>33</v>
      </c>
      <c r="F19" s="101">
        <v>20</v>
      </c>
      <c r="G19" s="70">
        <f t="shared" si="1"/>
        <v>3000</v>
      </c>
      <c r="H19" s="102">
        <v>150</v>
      </c>
      <c r="I19" s="103">
        <v>0.65</v>
      </c>
      <c r="J19" s="104"/>
      <c r="K19" s="105">
        <v>46056</v>
      </c>
      <c r="L19" s="106" t="s">
        <v>34</v>
      </c>
      <c r="M19" s="104">
        <v>46182</v>
      </c>
      <c r="N19" s="104">
        <v>46273</v>
      </c>
      <c r="O19" s="75">
        <f t="shared" si="0"/>
        <v>36000</v>
      </c>
      <c r="P19" s="106">
        <v>1</v>
      </c>
      <c r="Q19" s="107" t="s">
        <v>340</v>
      </c>
      <c r="R19" s="218"/>
    </row>
    <row r="20" spans="1:18" s="30" customFormat="1">
      <c r="A20" s="4">
        <v>10</v>
      </c>
      <c r="B20" s="4" t="s">
        <v>460</v>
      </c>
      <c r="C20" s="108" t="s">
        <v>341</v>
      </c>
      <c r="D20" s="108" t="s">
        <v>45</v>
      </c>
      <c r="E20" s="108" t="s">
        <v>46</v>
      </c>
      <c r="F20" s="109">
        <v>200</v>
      </c>
      <c r="G20" s="70">
        <f t="shared" si="1"/>
        <v>30000</v>
      </c>
      <c r="H20" s="71">
        <v>150</v>
      </c>
      <c r="I20" s="103">
        <v>0.65</v>
      </c>
      <c r="J20" s="73"/>
      <c r="K20" s="110">
        <v>46148</v>
      </c>
      <c r="L20" s="76" t="s">
        <v>34</v>
      </c>
      <c r="M20" s="110">
        <v>46163</v>
      </c>
      <c r="N20" s="110">
        <v>46235</v>
      </c>
      <c r="O20" s="75">
        <f t="shared" si="0"/>
        <v>360000</v>
      </c>
      <c r="P20" s="76">
        <v>1</v>
      </c>
      <c r="Q20" s="76" t="s">
        <v>342</v>
      </c>
      <c r="R20" s="99"/>
    </row>
    <row r="21" spans="1:18" s="30" customFormat="1">
      <c r="A21" s="4">
        <v>11</v>
      </c>
      <c r="B21" s="4" t="s">
        <v>459</v>
      </c>
      <c r="C21" s="227" t="s">
        <v>44</v>
      </c>
      <c r="D21" s="108" t="s">
        <v>45</v>
      </c>
      <c r="E21" s="108" t="s">
        <v>46</v>
      </c>
      <c r="F21" s="109">
        <v>18</v>
      </c>
      <c r="G21" s="70">
        <f t="shared" si="1"/>
        <v>2700</v>
      </c>
      <c r="H21" s="71">
        <v>150</v>
      </c>
      <c r="I21" s="103">
        <v>0.65</v>
      </c>
      <c r="J21" s="73"/>
      <c r="K21" s="110">
        <v>46147</v>
      </c>
      <c r="L21" s="76" t="s">
        <v>42</v>
      </c>
      <c r="M21" s="110">
        <v>46147</v>
      </c>
      <c r="N21" s="110">
        <v>46156</v>
      </c>
      <c r="O21" s="75">
        <f t="shared" si="0"/>
        <v>32400</v>
      </c>
      <c r="P21" s="76">
        <v>1</v>
      </c>
      <c r="Q21" s="76" t="s">
        <v>343</v>
      </c>
      <c r="R21" s="99"/>
    </row>
    <row r="22" spans="1:18" s="30" customFormat="1">
      <c r="A22" s="4">
        <v>12</v>
      </c>
      <c r="B22" s="4" t="s">
        <v>459</v>
      </c>
      <c r="C22" s="108" t="s">
        <v>344</v>
      </c>
      <c r="D22" s="108" t="s">
        <v>32</v>
      </c>
      <c r="E22" s="108" t="s">
        <v>46</v>
      </c>
      <c r="F22" s="109">
        <v>35</v>
      </c>
      <c r="G22" s="70">
        <f t="shared" si="1"/>
        <v>5250</v>
      </c>
      <c r="H22" s="71">
        <v>150</v>
      </c>
      <c r="I22" s="103">
        <v>0.65</v>
      </c>
      <c r="J22" s="73"/>
      <c r="K22" s="110">
        <v>46100</v>
      </c>
      <c r="L22" s="76" t="s">
        <v>34</v>
      </c>
      <c r="M22" s="110">
        <v>46184</v>
      </c>
      <c r="N22" s="110">
        <v>46357</v>
      </c>
      <c r="O22" s="75">
        <f t="shared" si="0"/>
        <v>63000</v>
      </c>
      <c r="P22" s="76">
        <v>2</v>
      </c>
      <c r="Q22" s="76" t="s">
        <v>345</v>
      </c>
      <c r="R22" s="99"/>
    </row>
    <row r="23" spans="1:18" s="30" customFormat="1">
      <c r="A23" s="4">
        <v>13</v>
      </c>
      <c r="B23" s="4" t="s">
        <v>460</v>
      </c>
      <c r="C23" s="227" t="s">
        <v>346</v>
      </c>
      <c r="D23" s="108" t="s">
        <v>45</v>
      </c>
      <c r="E23" s="108" t="s">
        <v>46</v>
      </c>
      <c r="F23" s="109">
        <v>60</v>
      </c>
      <c r="G23" s="70">
        <f t="shared" si="1"/>
        <v>9000</v>
      </c>
      <c r="H23" s="71">
        <v>150</v>
      </c>
      <c r="I23" s="103">
        <v>0.2</v>
      </c>
      <c r="J23" s="73"/>
      <c r="K23" s="110">
        <v>45924</v>
      </c>
      <c r="L23" s="76" t="s">
        <v>34</v>
      </c>
      <c r="M23" s="110">
        <v>46184</v>
      </c>
      <c r="N23" s="110">
        <v>46204</v>
      </c>
      <c r="O23" s="75">
        <f t="shared" si="0"/>
        <v>108000</v>
      </c>
      <c r="P23" s="76">
        <v>1</v>
      </c>
      <c r="Q23" s="76" t="s">
        <v>347</v>
      </c>
      <c r="R23" s="99"/>
    </row>
    <row r="24" spans="1:18" s="30" customFormat="1">
      <c r="A24" s="4">
        <v>14</v>
      </c>
      <c r="B24" s="4" t="s">
        <v>460</v>
      </c>
      <c r="C24" s="108" t="s">
        <v>348</v>
      </c>
      <c r="D24" s="108" t="s">
        <v>32</v>
      </c>
      <c r="E24" s="108" t="s">
        <v>46</v>
      </c>
      <c r="F24" s="109">
        <v>63</v>
      </c>
      <c r="G24" s="70">
        <f t="shared" si="1"/>
        <v>9450</v>
      </c>
      <c r="H24" s="71">
        <v>150</v>
      </c>
      <c r="I24" s="103">
        <v>0.2</v>
      </c>
      <c r="J24" s="73"/>
      <c r="K24" s="110">
        <v>46139</v>
      </c>
      <c r="L24" s="76" t="s">
        <v>34</v>
      </c>
      <c r="M24" s="110">
        <v>46140</v>
      </c>
      <c r="N24" s="110">
        <v>46315</v>
      </c>
      <c r="O24" s="75">
        <f t="shared" si="0"/>
        <v>113400</v>
      </c>
      <c r="P24" s="76">
        <v>0</v>
      </c>
      <c r="Q24" s="76" t="s">
        <v>349</v>
      </c>
      <c r="R24" s="99"/>
    </row>
    <row r="25" spans="1:18" s="30" customFormat="1">
      <c r="A25" s="4">
        <v>15</v>
      </c>
      <c r="B25" s="4" t="s">
        <v>459</v>
      </c>
      <c r="C25" s="108" t="s">
        <v>350</v>
      </c>
      <c r="D25" s="108" t="s">
        <v>32</v>
      </c>
      <c r="E25" s="108" t="s">
        <v>46</v>
      </c>
      <c r="F25" s="109">
        <v>120</v>
      </c>
      <c r="G25" s="70">
        <f t="shared" si="1"/>
        <v>18000</v>
      </c>
      <c r="H25" s="71">
        <v>150</v>
      </c>
      <c r="I25" s="103">
        <v>0.2</v>
      </c>
      <c r="J25" s="73"/>
      <c r="K25" s="110">
        <v>46139</v>
      </c>
      <c r="L25" s="76" t="s">
        <v>34</v>
      </c>
      <c r="M25" s="110">
        <v>46190</v>
      </c>
      <c r="N25" s="110">
        <v>46581</v>
      </c>
      <c r="O25" s="75">
        <f t="shared" si="0"/>
        <v>216000</v>
      </c>
      <c r="P25" s="76">
        <v>0</v>
      </c>
      <c r="Q25" s="76" t="s">
        <v>351</v>
      </c>
      <c r="R25" s="99"/>
    </row>
    <row r="26" spans="1:18" s="30" customFormat="1">
      <c r="A26" s="4">
        <v>16</v>
      </c>
      <c r="B26" s="4" t="s">
        <v>459</v>
      </c>
      <c r="C26" s="108" t="s">
        <v>352</v>
      </c>
      <c r="D26" s="108" t="s">
        <v>45</v>
      </c>
      <c r="E26" s="108" t="s">
        <v>46</v>
      </c>
      <c r="F26" s="109">
        <v>200</v>
      </c>
      <c r="G26" s="112">
        <f t="shared" ref="G26:G34" si="2">SUM(H26*F26)</f>
        <v>30000</v>
      </c>
      <c r="H26" s="71">
        <v>150</v>
      </c>
      <c r="I26" s="103">
        <v>0.2</v>
      </c>
      <c r="J26" s="73"/>
      <c r="K26" s="110">
        <v>46148</v>
      </c>
      <c r="L26" s="76" t="s">
        <v>34</v>
      </c>
      <c r="M26" s="110">
        <v>46197</v>
      </c>
      <c r="N26" s="110">
        <v>46198</v>
      </c>
      <c r="O26" s="75">
        <f t="shared" si="0"/>
        <v>360000</v>
      </c>
      <c r="P26" s="76">
        <v>0</v>
      </c>
      <c r="Q26" s="76" t="s">
        <v>353</v>
      </c>
      <c r="R26" s="99"/>
    </row>
    <row r="27" spans="1:18" s="30" customFormat="1">
      <c r="A27" s="4">
        <v>17</v>
      </c>
      <c r="B27" s="4" t="s">
        <v>459</v>
      </c>
      <c r="C27" s="108" t="s">
        <v>354</v>
      </c>
      <c r="D27" s="108" t="s">
        <v>45</v>
      </c>
      <c r="E27" s="108" t="s">
        <v>46</v>
      </c>
      <c r="F27" s="109">
        <v>10</v>
      </c>
      <c r="G27" s="112">
        <f t="shared" si="2"/>
        <v>1500</v>
      </c>
      <c r="H27" s="71">
        <v>150</v>
      </c>
      <c r="I27" s="103">
        <v>0.2</v>
      </c>
      <c r="J27" s="73"/>
      <c r="K27" s="110">
        <v>46153</v>
      </c>
      <c r="L27" s="76" t="s">
        <v>34</v>
      </c>
      <c r="M27" s="110">
        <v>46190</v>
      </c>
      <c r="N27" s="110">
        <v>46266</v>
      </c>
      <c r="O27" s="75">
        <f t="shared" si="0"/>
        <v>18000</v>
      </c>
      <c r="P27" s="76">
        <v>1</v>
      </c>
      <c r="Q27" s="76" t="s">
        <v>355</v>
      </c>
      <c r="R27" s="99"/>
    </row>
    <row r="28" spans="1:18" s="30" customFormat="1">
      <c r="A28" s="4">
        <v>18</v>
      </c>
      <c r="B28" s="4" t="s">
        <v>460</v>
      </c>
      <c r="C28" s="229" t="s">
        <v>356</v>
      </c>
      <c r="D28" s="108" t="s">
        <v>32</v>
      </c>
      <c r="E28" s="108" t="s">
        <v>46</v>
      </c>
      <c r="F28" s="109">
        <v>65</v>
      </c>
      <c r="G28" s="112">
        <f t="shared" si="2"/>
        <v>9750</v>
      </c>
      <c r="H28" s="71">
        <v>150</v>
      </c>
      <c r="I28" s="103">
        <v>0.2</v>
      </c>
      <c r="J28" s="73"/>
      <c r="K28" s="110">
        <v>46139</v>
      </c>
      <c r="L28" s="76" t="s">
        <v>34</v>
      </c>
      <c r="M28" s="110">
        <v>46175</v>
      </c>
      <c r="N28" s="110">
        <v>46162</v>
      </c>
      <c r="O28" s="75">
        <f t="shared" si="0"/>
        <v>117000</v>
      </c>
      <c r="P28" s="76">
        <v>0</v>
      </c>
      <c r="Q28" s="76" t="s">
        <v>357</v>
      </c>
      <c r="R28" s="99"/>
    </row>
    <row r="29" spans="1:18" s="30" customFormat="1">
      <c r="A29" s="4">
        <v>19</v>
      </c>
      <c r="B29" s="4" t="s">
        <v>460</v>
      </c>
      <c r="C29" s="238" t="s">
        <v>358</v>
      </c>
      <c r="D29" s="108" t="s">
        <v>45</v>
      </c>
      <c r="E29" s="108" t="s">
        <v>46</v>
      </c>
      <c r="F29" s="222">
        <v>90</v>
      </c>
      <c r="G29" s="112">
        <f t="shared" si="2"/>
        <v>13500</v>
      </c>
      <c r="H29" s="71">
        <v>150</v>
      </c>
      <c r="I29" s="103">
        <v>0.2</v>
      </c>
      <c r="J29" s="73"/>
      <c r="K29" s="110">
        <v>46161</v>
      </c>
      <c r="L29" s="76" t="s">
        <v>34</v>
      </c>
      <c r="M29" s="110">
        <v>46161</v>
      </c>
      <c r="N29" s="110">
        <v>46143</v>
      </c>
      <c r="O29" s="75">
        <f t="shared" si="0"/>
        <v>162000</v>
      </c>
      <c r="P29" s="76">
        <v>0</v>
      </c>
      <c r="Q29" s="76" t="s">
        <v>359</v>
      </c>
      <c r="R29" s="99"/>
    </row>
    <row r="30" spans="1:18" s="30" customFormat="1">
      <c r="A30" s="4">
        <v>20</v>
      </c>
      <c r="B30" s="4" t="s">
        <v>460</v>
      </c>
      <c r="C30" s="232" t="s">
        <v>360</v>
      </c>
      <c r="D30" s="108" t="s">
        <v>45</v>
      </c>
      <c r="E30" s="108" t="s">
        <v>46</v>
      </c>
      <c r="F30" s="174">
        <v>49</v>
      </c>
      <c r="G30" s="112">
        <f t="shared" si="2"/>
        <v>7350</v>
      </c>
      <c r="H30" s="71">
        <v>150</v>
      </c>
      <c r="I30" s="103">
        <v>0.2</v>
      </c>
      <c r="J30" s="73"/>
      <c r="K30" s="110">
        <v>46160</v>
      </c>
      <c r="L30" s="76" t="s">
        <v>34</v>
      </c>
      <c r="M30" s="110">
        <v>46163</v>
      </c>
      <c r="N30" s="110">
        <v>46238</v>
      </c>
      <c r="O30" s="75">
        <f t="shared" si="0"/>
        <v>88200</v>
      </c>
      <c r="P30" s="76">
        <v>0</v>
      </c>
      <c r="Q30" s="76" t="s">
        <v>361</v>
      </c>
      <c r="R30" s="99"/>
    </row>
    <row r="31" spans="1:18" s="30" customFormat="1">
      <c r="A31" s="4">
        <v>21</v>
      </c>
      <c r="B31" s="4" t="s">
        <v>460</v>
      </c>
      <c r="C31" s="223" t="s">
        <v>362</v>
      </c>
      <c r="D31" s="108" t="s">
        <v>45</v>
      </c>
      <c r="E31" s="108" t="s">
        <v>46</v>
      </c>
      <c r="F31" s="174">
        <v>46</v>
      </c>
      <c r="G31" s="112">
        <f t="shared" si="2"/>
        <v>6900</v>
      </c>
      <c r="H31" s="71">
        <v>150</v>
      </c>
      <c r="I31" s="103">
        <v>0.2</v>
      </c>
      <c r="J31" s="73"/>
      <c r="K31" s="110">
        <v>46160</v>
      </c>
      <c r="L31" s="76" t="s">
        <v>34</v>
      </c>
      <c r="M31" s="110">
        <v>46164</v>
      </c>
      <c r="N31" s="110">
        <v>46224</v>
      </c>
      <c r="O31" s="75">
        <f t="shared" si="0"/>
        <v>82800</v>
      </c>
      <c r="P31" s="76">
        <v>0</v>
      </c>
      <c r="Q31" s="76" t="s">
        <v>363</v>
      </c>
      <c r="R31" s="99"/>
    </row>
    <row r="32" spans="1:18" s="30" customFormat="1">
      <c r="A32" s="4">
        <v>22</v>
      </c>
      <c r="B32" s="4" t="s">
        <v>460</v>
      </c>
      <c r="C32" s="221" t="s">
        <v>364</v>
      </c>
      <c r="D32" s="108" t="s">
        <v>45</v>
      </c>
      <c r="E32" s="108" t="s">
        <v>46</v>
      </c>
      <c r="F32" s="222">
        <v>39</v>
      </c>
      <c r="G32" s="112">
        <f t="shared" si="2"/>
        <v>5850</v>
      </c>
      <c r="H32" s="71">
        <v>150</v>
      </c>
      <c r="I32" s="103">
        <v>0.2</v>
      </c>
      <c r="J32" s="73"/>
      <c r="K32" s="226">
        <v>46200</v>
      </c>
      <c r="L32" s="76" t="s">
        <v>34</v>
      </c>
      <c r="M32" s="110">
        <v>46169</v>
      </c>
      <c r="N32" s="110">
        <v>46336</v>
      </c>
      <c r="O32" s="75">
        <f t="shared" si="0"/>
        <v>70200</v>
      </c>
      <c r="P32" s="76">
        <v>0</v>
      </c>
      <c r="Q32" s="76" t="s">
        <v>365</v>
      </c>
      <c r="R32" s="99"/>
    </row>
    <row r="33" spans="1:18" s="30" customFormat="1">
      <c r="A33" s="4">
        <v>23</v>
      </c>
      <c r="B33" s="4" t="s">
        <v>460</v>
      </c>
      <c r="C33" s="227" t="s">
        <v>366</v>
      </c>
      <c r="D33" s="108" t="s">
        <v>32</v>
      </c>
      <c r="E33" s="108" t="s">
        <v>46</v>
      </c>
      <c r="F33" s="109">
        <v>56</v>
      </c>
      <c r="G33" s="112">
        <f t="shared" si="2"/>
        <v>8400</v>
      </c>
      <c r="H33" s="71">
        <v>150</v>
      </c>
      <c r="I33" s="103">
        <v>0.2</v>
      </c>
      <c r="J33" s="73"/>
      <c r="K33" s="110">
        <v>46139</v>
      </c>
      <c r="L33" s="76" t="s">
        <v>34</v>
      </c>
      <c r="M33" s="110">
        <v>46177</v>
      </c>
      <c r="N33" s="110">
        <v>46178</v>
      </c>
      <c r="O33" s="75">
        <f t="shared" si="0"/>
        <v>100800</v>
      </c>
      <c r="P33" s="76">
        <v>0</v>
      </c>
      <c r="Q33" s="76" t="s">
        <v>367</v>
      </c>
      <c r="R33" s="99"/>
    </row>
    <row r="34" spans="1:18" s="30" customFormat="1">
      <c r="A34" s="4">
        <v>24</v>
      </c>
      <c r="B34" s="4" t="s">
        <v>459</v>
      </c>
      <c r="C34" s="108" t="s">
        <v>368</v>
      </c>
      <c r="D34" s="108" t="s">
        <v>45</v>
      </c>
      <c r="E34" s="108" t="s">
        <v>46</v>
      </c>
      <c r="F34" s="109">
        <v>10</v>
      </c>
      <c r="G34" s="112">
        <f t="shared" si="2"/>
        <v>1500</v>
      </c>
      <c r="H34" s="71">
        <v>150</v>
      </c>
      <c r="I34" s="103">
        <v>0.2</v>
      </c>
      <c r="J34" s="73"/>
      <c r="K34" s="110">
        <v>46174</v>
      </c>
      <c r="L34" s="76" t="s">
        <v>34</v>
      </c>
      <c r="M34" s="110">
        <v>46174</v>
      </c>
      <c r="N34" s="110">
        <v>46183</v>
      </c>
      <c r="O34" s="75">
        <f t="shared" si="0"/>
        <v>18000</v>
      </c>
      <c r="P34" s="76">
        <v>0</v>
      </c>
      <c r="Q34" s="76" t="s">
        <v>369</v>
      </c>
      <c r="R34" s="99"/>
    </row>
    <row r="35" spans="1:18" s="30" customFormat="1">
      <c r="A35" s="4">
        <v>25</v>
      </c>
      <c r="B35" s="4" t="s">
        <v>460</v>
      </c>
      <c r="C35" s="108" t="s">
        <v>370</v>
      </c>
      <c r="D35" s="108" t="s">
        <v>45</v>
      </c>
      <c r="E35" s="108" t="s">
        <v>46</v>
      </c>
      <c r="F35" s="109">
        <v>15</v>
      </c>
      <c r="G35" s="112">
        <f t="shared" ref="G35" si="3">SUM(F35*H35)</f>
        <v>2250</v>
      </c>
      <c r="H35" s="71">
        <v>150</v>
      </c>
      <c r="I35" s="103">
        <v>0.2</v>
      </c>
      <c r="J35" s="73"/>
      <c r="K35" s="110">
        <v>45924</v>
      </c>
      <c r="L35" s="76" t="s">
        <v>60</v>
      </c>
      <c r="M35" s="110">
        <v>46150</v>
      </c>
      <c r="N35" s="110">
        <v>46252</v>
      </c>
      <c r="O35" s="75">
        <f t="shared" si="0"/>
        <v>27000</v>
      </c>
      <c r="P35" s="76">
        <v>0</v>
      </c>
      <c r="Q35" s="76" t="s">
        <v>371</v>
      </c>
      <c r="R35" s="99"/>
    </row>
    <row r="36" spans="1:18" s="30" customFormat="1">
      <c r="A36" s="4">
        <v>26</v>
      </c>
      <c r="B36" s="4" t="s">
        <v>459</v>
      </c>
      <c r="C36" s="236" t="s">
        <v>372</v>
      </c>
      <c r="D36" s="108" t="s">
        <v>32</v>
      </c>
      <c r="E36" s="108" t="s">
        <v>46</v>
      </c>
      <c r="F36" s="109">
        <v>120</v>
      </c>
      <c r="G36" s="112">
        <f t="shared" ref="G36:G44" si="4">SUM(H36*F36)</f>
        <v>18000</v>
      </c>
      <c r="H36" s="71">
        <v>150</v>
      </c>
      <c r="I36" s="103">
        <v>0.2</v>
      </c>
      <c r="J36" s="73"/>
      <c r="K36" s="110">
        <v>46139</v>
      </c>
      <c r="L36" s="76" t="s">
        <v>34</v>
      </c>
      <c r="M36" s="110">
        <v>46177</v>
      </c>
      <c r="N36" s="110">
        <v>46280</v>
      </c>
      <c r="O36" s="75">
        <f t="shared" si="0"/>
        <v>216000</v>
      </c>
      <c r="P36" s="76">
        <v>0</v>
      </c>
      <c r="Q36" s="76" t="s">
        <v>373</v>
      </c>
      <c r="R36" s="99"/>
    </row>
    <row r="37" spans="1:18" s="30" customFormat="1">
      <c r="A37" s="4">
        <v>27</v>
      </c>
      <c r="B37" s="4" t="s">
        <v>460</v>
      </c>
      <c r="C37" s="108" t="s">
        <v>166</v>
      </c>
      <c r="D37" s="108" t="s">
        <v>45</v>
      </c>
      <c r="E37" s="108" t="s">
        <v>46</v>
      </c>
      <c r="F37" s="109">
        <v>39</v>
      </c>
      <c r="G37" s="112">
        <f t="shared" si="4"/>
        <v>5850</v>
      </c>
      <c r="H37" s="71">
        <v>150</v>
      </c>
      <c r="I37" s="103">
        <v>0.2</v>
      </c>
      <c r="J37" s="73"/>
      <c r="K37" s="110">
        <v>46149</v>
      </c>
      <c r="L37" s="76" t="s">
        <v>34</v>
      </c>
      <c r="M37" s="110">
        <v>46177</v>
      </c>
      <c r="N37" s="110">
        <v>46210</v>
      </c>
      <c r="O37" s="75">
        <f t="shared" si="0"/>
        <v>70200</v>
      </c>
      <c r="P37" s="76">
        <v>0</v>
      </c>
      <c r="Q37" s="76" t="s">
        <v>167</v>
      </c>
      <c r="R37" s="99"/>
    </row>
    <row r="38" spans="1:18" s="30" customFormat="1">
      <c r="A38" s="4">
        <v>28</v>
      </c>
      <c r="B38" s="4" t="s">
        <v>460</v>
      </c>
      <c r="C38" s="108" t="s">
        <v>374</v>
      </c>
      <c r="D38" s="108" t="s">
        <v>45</v>
      </c>
      <c r="E38" s="108" t="s">
        <v>46</v>
      </c>
      <c r="F38" s="109">
        <v>110</v>
      </c>
      <c r="G38" s="112">
        <f t="shared" si="4"/>
        <v>16500</v>
      </c>
      <c r="H38" s="71">
        <v>150</v>
      </c>
      <c r="I38" s="103">
        <v>0.2</v>
      </c>
      <c r="J38" s="73"/>
      <c r="K38" s="110">
        <v>46140</v>
      </c>
      <c r="L38" s="76" t="s">
        <v>34</v>
      </c>
      <c r="M38" s="110">
        <v>46183</v>
      </c>
      <c r="N38" s="110">
        <v>46301</v>
      </c>
      <c r="O38" s="75">
        <f t="shared" si="0"/>
        <v>198000</v>
      </c>
      <c r="P38" s="76">
        <v>0</v>
      </c>
      <c r="Q38" s="76" t="s">
        <v>375</v>
      </c>
      <c r="R38" s="99"/>
    </row>
    <row r="39" spans="1:18" s="30" customFormat="1">
      <c r="A39" s="4">
        <v>29</v>
      </c>
      <c r="B39" s="4" t="s">
        <v>459</v>
      </c>
      <c r="C39" s="108" t="s">
        <v>376</v>
      </c>
      <c r="D39" s="108" t="s">
        <v>32</v>
      </c>
      <c r="E39" s="108" t="s">
        <v>46</v>
      </c>
      <c r="F39" s="109">
        <v>110</v>
      </c>
      <c r="G39" s="112">
        <f t="shared" si="4"/>
        <v>16500</v>
      </c>
      <c r="H39" s="71">
        <v>150</v>
      </c>
      <c r="I39" s="103">
        <v>0.2</v>
      </c>
      <c r="J39" s="73"/>
      <c r="K39" s="110">
        <v>46141</v>
      </c>
      <c r="L39" s="76" t="s">
        <v>34</v>
      </c>
      <c r="M39" s="110">
        <v>46184</v>
      </c>
      <c r="N39" s="110">
        <v>46280</v>
      </c>
      <c r="O39" s="75">
        <f t="shared" si="0"/>
        <v>198000</v>
      </c>
      <c r="P39" s="76">
        <v>0</v>
      </c>
      <c r="Q39" s="76" t="s">
        <v>377</v>
      </c>
      <c r="R39" s="99"/>
    </row>
    <row r="40" spans="1:18" s="30" customFormat="1">
      <c r="A40" s="4">
        <v>30</v>
      </c>
      <c r="B40" s="4" t="s">
        <v>459</v>
      </c>
      <c r="C40" s="108" t="s">
        <v>378</v>
      </c>
      <c r="D40" s="108" t="s">
        <v>45</v>
      </c>
      <c r="E40" s="108" t="s">
        <v>46</v>
      </c>
      <c r="F40" s="109">
        <v>40</v>
      </c>
      <c r="G40" s="112">
        <f t="shared" si="4"/>
        <v>6000</v>
      </c>
      <c r="H40" s="71">
        <v>150</v>
      </c>
      <c r="I40" s="103">
        <v>0.2</v>
      </c>
      <c r="J40" s="73"/>
      <c r="K40" s="110">
        <v>46149</v>
      </c>
      <c r="L40" s="76" t="s">
        <v>34</v>
      </c>
      <c r="M40" s="110">
        <v>46184</v>
      </c>
      <c r="N40" s="110">
        <v>46434</v>
      </c>
      <c r="O40" s="75">
        <f t="shared" si="0"/>
        <v>72000</v>
      </c>
      <c r="P40" s="76">
        <v>0</v>
      </c>
      <c r="Q40" s="76" t="s">
        <v>379</v>
      </c>
      <c r="R40" s="99"/>
    </row>
    <row r="41" spans="1:18" s="30" customFormat="1">
      <c r="A41" s="4">
        <v>31</v>
      </c>
      <c r="B41" s="4" t="s">
        <v>459</v>
      </c>
      <c r="C41" s="108" t="s">
        <v>380</v>
      </c>
      <c r="D41" s="108" t="s">
        <v>45</v>
      </c>
      <c r="E41" s="108" t="s">
        <v>46</v>
      </c>
      <c r="F41" s="109">
        <v>38</v>
      </c>
      <c r="G41" s="112">
        <f t="shared" si="4"/>
        <v>5700</v>
      </c>
      <c r="H41" s="71">
        <v>150</v>
      </c>
      <c r="I41" s="103">
        <v>0.2</v>
      </c>
      <c r="J41" s="73"/>
      <c r="K41" s="110">
        <v>46149</v>
      </c>
      <c r="L41" s="76" t="s">
        <v>34</v>
      </c>
      <c r="M41" s="110">
        <v>46184</v>
      </c>
      <c r="N41" s="110">
        <v>46441</v>
      </c>
      <c r="O41" s="75">
        <f t="shared" si="0"/>
        <v>68400</v>
      </c>
      <c r="P41" s="76">
        <v>0</v>
      </c>
      <c r="Q41" s="76" t="s">
        <v>381</v>
      </c>
      <c r="R41" s="99"/>
    </row>
    <row r="42" spans="1:18" s="30" customFormat="1">
      <c r="A42" s="4">
        <v>32</v>
      </c>
      <c r="B42" s="4" t="s">
        <v>460</v>
      </c>
      <c r="C42" s="223" t="s">
        <v>382</v>
      </c>
      <c r="D42" s="108" t="s">
        <v>45</v>
      </c>
      <c r="E42" s="108" t="s">
        <v>46</v>
      </c>
      <c r="F42" s="174">
        <v>49</v>
      </c>
      <c r="G42" s="112">
        <f t="shared" si="4"/>
        <v>7350</v>
      </c>
      <c r="H42" s="71">
        <v>150</v>
      </c>
      <c r="I42" s="103">
        <v>0.2</v>
      </c>
      <c r="J42" s="73"/>
      <c r="K42" s="110">
        <v>46160</v>
      </c>
      <c r="L42" s="76" t="s">
        <v>34</v>
      </c>
      <c r="M42" s="110">
        <v>46183</v>
      </c>
      <c r="N42" s="110">
        <v>46364</v>
      </c>
      <c r="O42" s="75">
        <f t="shared" si="0"/>
        <v>88200</v>
      </c>
      <c r="P42" s="76">
        <v>0</v>
      </c>
      <c r="Q42" s="76" t="s">
        <v>383</v>
      </c>
      <c r="R42" s="99"/>
    </row>
    <row r="43" spans="1:18" s="30" customFormat="1">
      <c r="A43" s="4">
        <v>33</v>
      </c>
      <c r="B43" s="4" t="s">
        <v>460</v>
      </c>
      <c r="C43" s="223" t="s">
        <v>384</v>
      </c>
      <c r="D43" s="108" t="s">
        <v>45</v>
      </c>
      <c r="E43" s="108" t="s">
        <v>46</v>
      </c>
      <c r="F43" s="174">
        <v>43</v>
      </c>
      <c r="G43" s="112">
        <f t="shared" si="4"/>
        <v>6450</v>
      </c>
      <c r="H43" s="71">
        <v>150</v>
      </c>
      <c r="I43" s="103">
        <v>0.2</v>
      </c>
      <c r="J43" s="73"/>
      <c r="K43" s="110">
        <v>46160</v>
      </c>
      <c r="L43" s="76" t="s">
        <v>34</v>
      </c>
      <c r="M43" s="110">
        <v>46183</v>
      </c>
      <c r="N43" s="110">
        <v>46223</v>
      </c>
      <c r="O43" s="75">
        <f t="shared" si="0"/>
        <v>77400</v>
      </c>
      <c r="P43" s="76">
        <v>0</v>
      </c>
      <c r="Q43" s="76" t="s">
        <v>385</v>
      </c>
      <c r="R43" s="99"/>
    </row>
    <row r="44" spans="1:18" s="30" customFormat="1">
      <c r="A44" s="4">
        <v>34</v>
      </c>
      <c r="B44" s="4" t="s">
        <v>460</v>
      </c>
      <c r="C44" s="223" t="s">
        <v>386</v>
      </c>
      <c r="D44" s="108" t="s">
        <v>45</v>
      </c>
      <c r="E44" s="108" t="s">
        <v>46</v>
      </c>
      <c r="F44" s="174">
        <v>42</v>
      </c>
      <c r="G44" s="112">
        <f t="shared" si="4"/>
        <v>6300</v>
      </c>
      <c r="H44" s="71">
        <v>150</v>
      </c>
      <c r="I44" s="103">
        <v>0.2</v>
      </c>
      <c r="J44" s="73"/>
      <c r="K44" s="110">
        <v>46160</v>
      </c>
      <c r="L44" s="76" t="s">
        <v>34</v>
      </c>
      <c r="M44" s="110">
        <v>46185</v>
      </c>
      <c r="N44" s="110"/>
      <c r="O44" s="75">
        <f t="shared" si="0"/>
        <v>75600</v>
      </c>
      <c r="P44" s="76">
        <v>0</v>
      </c>
      <c r="Q44" s="76" t="s">
        <v>387</v>
      </c>
      <c r="R44" s="99"/>
    </row>
    <row r="45" spans="1:18" s="30" customFormat="1">
      <c r="A45" s="4">
        <v>35</v>
      </c>
      <c r="B45" s="4" t="s">
        <v>460</v>
      </c>
      <c r="C45" s="108" t="s">
        <v>388</v>
      </c>
      <c r="D45" s="108" t="s">
        <v>45</v>
      </c>
      <c r="E45" s="108" t="s">
        <v>46</v>
      </c>
      <c r="F45" s="109">
        <v>37</v>
      </c>
      <c r="G45" s="112">
        <f t="shared" ref="G45" si="5">SUM(F45*H45)</f>
        <v>5550</v>
      </c>
      <c r="H45" s="71">
        <v>150</v>
      </c>
      <c r="I45" s="103">
        <v>0.2</v>
      </c>
      <c r="J45" s="73"/>
      <c r="K45" s="110">
        <v>45924</v>
      </c>
      <c r="L45" s="76" t="s">
        <v>60</v>
      </c>
      <c r="M45" s="110">
        <v>46190</v>
      </c>
      <c r="N45" s="110">
        <v>46308</v>
      </c>
      <c r="O45" s="75">
        <f t="shared" si="0"/>
        <v>66600</v>
      </c>
      <c r="P45" s="76">
        <v>7</v>
      </c>
      <c r="Q45" s="76" t="s">
        <v>389</v>
      </c>
      <c r="R45" s="99"/>
    </row>
    <row r="46" spans="1:18" s="30" customFormat="1">
      <c r="A46" s="4">
        <v>36</v>
      </c>
      <c r="B46" s="4" t="s">
        <v>460</v>
      </c>
      <c r="C46" s="108" t="s">
        <v>390</v>
      </c>
      <c r="D46" s="108" t="s">
        <v>32</v>
      </c>
      <c r="E46" s="108" t="s">
        <v>46</v>
      </c>
      <c r="F46" s="109">
        <v>110</v>
      </c>
      <c r="G46" s="112">
        <f t="shared" ref="G46:G53" si="6">SUM(H46*F46)</f>
        <v>16500</v>
      </c>
      <c r="H46" s="71">
        <v>150</v>
      </c>
      <c r="I46" s="103">
        <v>0.2</v>
      </c>
      <c r="J46" s="73"/>
      <c r="K46" s="110">
        <v>46141</v>
      </c>
      <c r="L46" s="76" t="s">
        <v>34</v>
      </c>
      <c r="M46" s="110">
        <v>46192</v>
      </c>
      <c r="N46" s="110">
        <v>46398</v>
      </c>
      <c r="O46" s="75">
        <f t="shared" si="0"/>
        <v>198000</v>
      </c>
      <c r="P46" s="76">
        <v>6</v>
      </c>
      <c r="Q46" s="76" t="s">
        <v>391</v>
      </c>
      <c r="R46" s="99"/>
    </row>
    <row r="47" spans="1:18" s="30" customFormat="1">
      <c r="A47" s="4">
        <v>37</v>
      </c>
      <c r="B47" s="4" t="s">
        <v>459</v>
      </c>
      <c r="C47" s="108" t="s">
        <v>392</v>
      </c>
      <c r="D47" s="108" t="s">
        <v>45</v>
      </c>
      <c r="E47" s="108" t="s">
        <v>46</v>
      </c>
      <c r="F47" s="109">
        <v>40</v>
      </c>
      <c r="G47" s="112">
        <f t="shared" si="6"/>
        <v>6000</v>
      </c>
      <c r="H47" s="71">
        <v>150</v>
      </c>
      <c r="I47" s="103">
        <v>0.2</v>
      </c>
      <c r="J47" s="73"/>
      <c r="K47" s="110">
        <v>46149</v>
      </c>
      <c r="L47" s="76" t="s">
        <v>34</v>
      </c>
      <c r="M47" s="110">
        <v>46189</v>
      </c>
      <c r="N47" s="110">
        <v>46337</v>
      </c>
      <c r="O47" s="75">
        <f t="shared" si="0"/>
        <v>72000</v>
      </c>
      <c r="P47" s="76">
        <v>4</v>
      </c>
      <c r="Q47" s="76" t="s">
        <v>393</v>
      </c>
      <c r="R47" s="99"/>
    </row>
    <row r="48" spans="1:18" s="30" customFormat="1">
      <c r="A48" s="4">
        <v>38</v>
      </c>
      <c r="B48" s="4" t="s">
        <v>460</v>
      </c>
      <c r="C48" s="108" t="s">
        <v>394</v>
      </c>
      <c r="D48" s="108" t="s">
        <v>45</v>
      </c>
      <c r="E48" s="108" t="s">
        <v>46</v>
      </c>
      <c r="F48" s="109">
        <v>40</v>
      </c>
      <c r="G48" s="112">
        <f t="shared" si="6"/>
        <v>6000</v>
      </c>
      <c r="H48" s="71">
        <v>150</v>
      </c>
      <c r="I48" s="103">
        <v>0.2</v>
      </c>
      <c r="J48" s="73"/>
      <c r="K48" s="110">
        <v>46149</v>
      </c>
      <c r="L48" s="76" t="s">
        <v>34</v>
      </c>
      <c r="M48" s="110">
        <v>46192</v>
      </c>
      <c r="N48" s="110">
        <v>46461</v>
      </c>
      <c r="O48" s="75">
        <f t="shared" si="0"/>
        <v>72000</v>
      </c>
      <c r="P48" s="76">
        <v>6</v>
      </c>
      <c r="Q48" s="76" t="s">
        <v>395</v>
      </c>
      <c r="R48" s="99"/>
    </row>
    <row r="49" spans="1:18" s="30" customFormat="1">
      <c r="A49" s="4">
        <v>39</v>
      </c>
      <c r="B49" s="4" t="s">
        <v>459</v>
      </c>
      <c r="C49" s="108" t="s">
        <v>396</v>
      </c>
      <c r="D49" s="108" t="s">
        <v>45</v>
      </c>
      <c r="E49" s="108" t="s">
        <v>46</v>
      </c>
      <c r="F49" s="109">
        <v>39</v>
      </c>
      <c r="G49" s="112">
        <f t="shared" si="6"/>
        <v>5850</v>
      </c>
      <c r="H49" s="71">
        <v>150</v>
      </c>
      <c r="I49" s="103">
        <v>0.2</v>
      </c>
      <c r="J49" s="73"/>
      <c r="K49" s="110">
        <v>46149</v>
      </c>
      <c r="L49" s="76" t="s">
        <v>34</v>
      </c>
      <c r="M49" s="110">
        <v>46189</v>
      </c>
      <c r="N49" s="110">
        <v>46483</v>
      </c>
      <c r="O49" s="75">
        <f>SUM(G49*12)</f>
        <v>70200</v>
      </c>
      <c r="P49" s="76">
        <v>5</v>
      </c>
      <c r="Q49" s="76" t="s">
        <v>397</v>
      </c>
      <c r="R49" s="99"/>
    </row>
    <row r="50" spans="1:18" s="30" customFormat="1">
      <c r="A50" s="4">
        <v>40</v>
      </c>
      <c r="B50" s="4" t="s">
        <v>460</v>
      </c>
      <c r="C50" s="221" t="s">
        <v>398</v>
      </c>
      <c r="D50" s="108" t="s">
        <v>45</v>
      </c>
      <c r="E50" s="108" t="s">
        <v>46</v>
      </c>
      <c r="F50" s="222">
        <v>61</v>
      </c>
      <c r="G50" s="112">
        <f t="shared" si="6"/>
        <v>9150</v>
      </c>
      <c r="H50" s="71">
        <v>150</v>
      </c>
      <c r="I50" s="103">
        <v>0.2</v>
      </c>
      <c r="J50" s="73"/>
      <c r="K50" s="110">
        <v>46181</v>
      </c>
      <c r="L50" s="76" t="s">
        <v>34</v>
      </c>
      <c r="M50" s="110">
        <v>46189</v>
      </c>
      <c r="N50" s="110">
        <v>46426</v>
      </c>
      <c r="O50" s="75">
        <f t="shared" ref="O50:O53" si="7">SUM(G50*12)</f>
        <v>109800</v>
      </c>
      <c r="P50" s="76">
        <v>1</v>
      </c>
      <c r="Q50" s="76" t="s">
        <v>399</v>
      </c>
      <c r="R50" s="99"/>
    </row>
    <row r="51" spans="1:18" s="30" customFormat="1">
      <c r="A51" s="4">
        <v>41</v>
      </c>
      <c r="B51" s="4" t="s">
        <v>460</v>
      </c>
      <c r="C51" s="221" t="s">
        <v>400</v>
      </c>
      <c r="D51" s="108" t="s">
        <v>45</v>
      </c>
      <c r="E51" s="108" t="s">
        <v>46</v>
      </c>
      <c r="F51" s="222">
        <v>61</v>
      </c>
      <c r="G51" s="112">
        <f t="shared" si="6"/>
        <v>9150</v>
      </c>
      <c r="H51" s="71">
        <v>150</v>
      </c>
      <c r="I51" s="103">
        <v>0.2</v>
      </c>
      <c r="J51" s="73"/>
      <c r="K51" s="110">
        <v>46181</v>
      </c>
      <c r="L51" s="76" t="s">
        <v>34</v>
      </c>
      <c r="M51" s="110">
        <v>46189</v>
      </c>
      <c r="N51" s="110">
        <v>46426</v>
      </c>
      <c r="O51" s="75">
        <f t="shared" si="7"/>
        <v>109800</v>
      </c>
      <c r="P51" s="76">
        <v>2</v>
      </c>
      <c r="Q51" s="76" t="s">
        <v>401</v>
      </c>
      <c r="R51" s="99"/>
    </row>
    <row r="52" spans="1:18" s="30" customFormat="1">
      <c r="A52" s="4">
        <v>42</v>
      </c>
      <c r="B52" s="4" t="s">
        <v>460</v>
      </c>
      <c r="C52" s="221" t="s">
        <v>244</v>
      </c>
      <c r="D52" s="108" t="s">
        <v>45</v>
      </c>
      <c r="E52" s="108" t="s">
        <v>46</v>
      </c>
      <c r="F52" s="222">
        <v>59</v>
      </c>
      <c r="G52" s="112">
        <f t="shared" si="6"/>
        <v>8850</v>
      </c>
      <c r="H52" s="71">
        <v>150</v>
      </c>
      <c r="I52" s="103">
        <v>0.2</v>
      </c>
      <c r="J52" s="73"/>
      <c r="K52" s="110">
        <v>46181</v>
      </c>
      <c r="L52" s="76" t="s">
        <v>34</v>
      </c>
      <c r="M52" s="110">
        <v>46190</v>
      </c>
      <c r="N52" s="110">
        <v>46315</v>
      </c>
      <c r="O52" s="75">
        <f t="shared" si="7"/>
        <v>106200</v>
      </c>
      <c r="P52" s="76">
        <v>3</v>
      </c>
      <c r="Q52" s="76" t="s">
        <v>245</v>
      </c>
      <c r="R52" s="99"/>
    </row>
    <row r="53" spans="1:18" s="30" customFormat="1">
      <c r="A53" s="4">
        <v>43</v>
      </c>
      <c r="B53" s="4" t="s">
        <v>459</v>
      </c>
      <c r="C53" s="252" t="s">
        <v>40</v>
      </c>
      <c r="D53" s="100" t="s">
        <v>32</v>
      </c>
      <c r="E53" s="100" t="s">
        <v>33</v>
      </c>
      <c r="F53" s="101">
        <v>7</v>
      </c>
      <c r="G53" s="224">
        <f t="shared" si="6"/>
        <v>1050</v>
      </c>
      <c r="H53" s="102">
        <v>150</v>
      </c>
      <c r="I53" s="103">
        <v>0.4</v>
      </c>
      <c r="J53" s="73"/>
      <c r="K53" s="104">
        <v>46121</v>
      </c>
      <c r="L53" s="106" t="s">
        <v>42</v>
      </c>
      <c r="M53" s="104">
        <v>46197</v>
      </c>
      <c r="N53" s="104">
        <v>46211</v>
      </c>
      <c r="O53" s="225">
        <f t="shared" si="7"/>
        <v>12600</v>
      </c>
      <c r="P53" s="106">
        <v>1</v>
      </c>
      <c r="Q53" s="106" t="s">
        <v>43</v>
      </c>
      <c r="R53" s="106"/>
    </row>
    <row r="54" spans="1:18" s="30" customFormat="1">
      <c r="A54" s="4">
        <v>44</v>
      </c>
      <c r="B54" s="4" t="s">
        <v>459</v>
      </c>
      <c r="C54" s="252" t="s">
        <v>442</v>
      </c>
      <c r="D54" s="100" t="s">
        <v>32</v>
      </c>
      <c r="E54" s="100" t="s">
        <v>33</v>
      </c>
      <c r="F54" s="101">
        <v>50</v>
      </c>
      <c r="G54" s="224">
        <f t="shared" ref="G54:G57" si="8">SUM(H54*F54)</f>
        <v>7500</v>
      </c>
      <c r="H54" s="102">
        <v>150</v>
      </c>
      <c r="I54" s="103">
        <v>0.2</v>
      </c>
      <c r="J54" s="73"/>
      <c r="K54" s="104">
        <v>46122</v>
      </c>
      <c r="L54" s="106" t="s">
        <v>34</v>
      </c>
      <c r="M54" s="104">
        <v>46197</v>
      </c>
      <c r="N54" s="104">
        <v>46211</v>
      </c>
      <c r="O54" s="225">
        <f t="shared" ref="O54:O58" si="9">SUM(G54*12)</f>
        <v>90000</v>
      </c>
      <c r="P54" s="106">
        <v>0</v>
      </c>
      <c r="Q54" s="106"/>
      <c r="R54" s="253"/>
    </row>
    <row r="55" spans="1:18" s="30" customFormat="1">
      <c r="A55" s="4">
        <v>45</v>
      </c>
      <c r="B55" s="4" t="s">
        <v>460</v>
      </c>
      <c r="C55" s="221" t="s">
        <v>456</v>
      </c>
      <c r="D55" s="266" t="s">
        <v>32</v>
      </c>
      <c r="E55" s="266" t="s">
        <v>46</v>
      </c>
      <c r="F55" s="222">
        <v>65</v>
      </c>
      <c r="G55" s="267">
        <f t="shared" si="8"/>
        <v>9750</v>
      </c>
      <c r="H55" s="71">
        <v>150</v>
      </c>
      <c r="I55" s="103">
        <v>0.2</v>
      </c>
      <c r="J55" s="73"/>
      <c r="K55" s="226">
        <v>46198</v>
      </c>
      <c r="L55" s="268" t="s">
        <v>34</v>
      </c>
      <c r="M55" s="110">
        <v>46198</v>
      </c>
      <c r="N55" s="110">
        <v>46203</v>
      </c>
      <c r="O55" s="225">
        <f t="shared" si="9"/>
        <v>117000</v>
      </c>
      <c r="P55" s="268">
        <v>3</v>
      </c>
      <c r="Q55" s="268" t="s">
        <v>457</v>
      </c>
      <c r="R55" s="253"/>
    </row>
    <row r="56" spans="1:18" s="30" customFormat="1">
      <c r="A56" s="4">
        <v>46</v>
      </c>
      <c r="B56" s="4" t="s">
        <v>460</v>
      </c>
      <c r="C56" s="273" t="s">
        <v>452</v>
      </c>
      <c r="D56" s="266" t="s">
        <v>32</v>
      </c>
      <c r="E56" s="266" t="s">
        <v>46</v>
      </c>
      <c r="F56" s="222">
        <v>75</v>
      </c>
      <c r="G56" s="267">
        <f t="shared" si="8"/>
        <v>11250</v>
      </c>
      <c r="H56" s="71">
        <v>150</v>
      </c>
      <c r="I56" s="103">
        <v>0.2</v>
      </c>
      <c r="J56" s="73"/>
      <c r="K56" s="110">
        <v>46198</v>
      </c>
      <c r="L56" s="268" t="s">
        <v>34</v>
      </c>
      <c r="M56" s="110">
        <v>46198</v>
      </c>
      <c r="N56" s="110">
        <v>46182</v>
      </c>
      <c r="O56" s="225">
        <f t="shared" si="9"/>
        <v>135000</v>
      </c>
      <c r="P56" s="268">
        <v>1</v>
      </c>
      <c r="Q56" s="268" t="s">
        <v>453</v>
      </c>
      <c r="R56" s="253"/>
    </row>
    <row r="57" spans="1:18" s="30" customFormat="1">
      <c r="A57" s="4">
        <v>47</v>
      </c>
      <c r="B57" s="4" t="s">
        <v>460</v>
      </c>
      <c r="C57" s="221" t="s">
        <v>295</v>
      </c>
      <c r="D57" s="266" t="s">
        <v>32</v>
      </c>
      <c r="E57" s="266" t="s">
        <v>46</v>
      </c>
      <c r="F57" s="222">
        <v>130</v>
      </c>
      <c r="G57" s="267">
        <f t="shared" si="8"/>
        <v>19500</v>
      </c>
      <c r="H57" s="71">
        <v>150</v>
      </c>
      <c r="I57" s="103">
        <v>0.2</v>
      </c>
      <c r="J57" s="73"/>
      <c r="K57" s="110">
        <v>46183</v>
      </c>
      <c r="L57" s="268" t="s">
        <v>34</v>
      </c>
      <c r="M57" s="269">
        <v>46197</v>
      </c>
      <c r="N57" s="269">
        <v>46281</v>
      </c>
      <c r="O57" s="225">
        <f t="shared" si="9"/>
        <v>234000</v>
      </c>
      <c r="P57" s="270">
        <v>3</v>
      </c>
      <c r="Q57" s="270" t="s">
        <v>429</v>
      </c>
      <c r="R57" s="253"/>
    </row>
    <row r="58" spans="1:18" s="30" customFormat="1">
      <c r="A58" s="4">
        <v>48</v>
      </c>
      <c r="B58" s="4" t="s">
        <v>460</v>
      </c>
      <c r="C58" s="266" t="s">
        <v>75</v>
      </c>
      <c r="D58" s="266" t="s">
        <v>45</v>
      </c>
      <c r="E58" s="266" t="s">
        <v>46</v>
      </c>
      <c r="F58" s="272">
        <v>50</v>
      </c>
      <c r="G58" s="267">
        <f t="shared" ref="G58" si="10">SUM(F58*H58)</f>
        <v>7500</v>
      </c>
      <c r="H58" s="71">
        <v>150</v>
      </c>
      <c r="I58" s="103">
        <v>0.2</v>
      </c>
      <c r="J58" s="73"/>
      <c r="K58" s="110">
        <v>45924</v>
      </c>
      <c r="L58" s="268" t="s">
        <v>69</v>
      </c>
      <c r="M58" s="110">
        <v>46197</v>
      </c>
      <c r="N58" s="110">
        <v>46315</v>
      </c>
      <c r="O58" s="225">
        <f t="shared" si="9"/>
        <v>90000</v>
      </c>
      <c r="P58" s="268">
        <v>8</v>
      </c>
      <c r="Q58" s="268" t="s">
        <v>432</v>
      </c>
      <c r="R58" s="253"/>
    </row>
    <row r="59" spans="1:18" ht="15.75" thickBot="1">
      <c r="A59" s="4"/>
      <c r="B59" s="4"/>
      <c r="C59" s="35" t="s">
        <v>52</v>
      </c>
      <c r="D59" s="36" t="s">
        <v>53</v>
      </c>
      <c r="E59" s="36"/>
      <c r="F59" s="37">
        <f>SUM(F11:F58)</f>
        <v>2755</v>
      </c>
      <c r="G59" s="38">
        <f>SUM(G11:G58)</f>
        <v>413250</v>
      </c>
      <c r="H59" s="39">
        <f>AVERAGE(H2:H34)</f>
        <v>150</v>
      </c>
      <c r="I59" s="40"/>
      <c r="J59" s="41"/>
      <c r="K59" s="41"/>
      <c r="L59" s="42"/>
      <c r="M59" s="41"/>
      <c r="N59" s="42"/>
      <c r="O59" s="38">
        <f>SUM(O11:O58)</f>
        <v>4959000</v>
      </c>
      <c r="P59" s="42"/>
      <c r="Q59" s="42"/>
    </row>
    <row r="60" spans="1:18">
      <c r="A60" s="4"/>
      <c r="B60" s="4"/>
      <c r="C60" s="5"/>
      <c r="D60" s="6"/>
      <c r="E60" s="6"/>
      <c r="G60" s="26"/>
      <c r="H60" s="7"/>
      <c r="I60" s="7"/>
      <c r="J60" s="20"/>
      <c r="K60" s="20"/>
      <c r="L60" s="8"/>
      <c r="M60" s="23"/>
      <c r="N60" s="8"/>
      <c r="O60" s="8"/>
      <c r="P60" s="8"/>
    </row>
  </sheetData>
  <sheetProtection formatCells="0" formatColumns="0" formatRows="0" insertColumns="0" insertRows="0" insertHyperlinks="0" deleteRows="0" selectLockedCells="1"/>
  <mergeCells count="3">
    <mergeCell ref="A1:P1"/>
    <mergeCell ref="Q1:Q2"/>
    <mergeCell ref="C9:Q9"/>
  </mergeCells>
  <conditionalFormatting sqref="I11:I58">
    <cfRule type="cellIs" dxfId="24" priority="1" operator="equal">
      <formula>0</formula>
    </cfRule>
  </conditionalFormatting>
  <printOptions horizontalCentered="1" verticalCentered="1"/>
  <pageMargins left="0.25" right="0.25" top="0.75" bottom="0.75" header="0.3" footer="0.3"/>
  <pageSetup scale="70" fitToHeight="0" orientation="landscape" horizontalDpi="1200" verticalDpi="1200"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B5FE-569C-4025-A832-B8D6F0F53956}">
  <dimension ref="A3:P21"/>
  <sheetViews>
    <sheetView zoomScale="130" zoomScaleNormal="130" workbookViewId="0">
      <selection activeCell="B21" sqref="B21"/>
    </sheetView>
  </sheetViews>
  <sheetFormatPr defaultRowHeight="15"/>
  <cols>
    <col min="2" max="2" width="28.140625" bestFit="1" customWidth="1"/>
    <col min="3" max="3" width="12.140625" bestFit="1" customWidth="1"/>
    <col min="4" max="4" width="16.5703125" bestFit="1" customWidth="1"/>
    <col min="6" max="6" width="12.5703125" bestFit="1" customWidth="1"/>
    <col min="7" max="7" width="9.5703125" bestFit="1" customWidth="1"/>
    <col min="8" max="8" width="14.28515625" bestFit="1" customWidth="1"/>
    <col min="10" max="10" width="11" bestFit="1" customWidth="1"/>
    <col min="11" max="11" width="8.140625" bestFit="1" customWidth="1"/>
    <col min="12" max="13" width="11" bestFit="1" customWidth="1"/>
    <col min="14" max="14" width="14.28515625" bestFit="1" customWidth="1"/>
    <col min="15" max="15" width="8.7109375" bestFit="1" customWidth="1"/>
    <col min="16" max="16" width="188.85546875" bestFit="1" customWidth="1"/>
  </cols>
  <sheetData>
    <row r="3" spans="1:16" ht="24" thickBot="1">
      <c r="B3" s="256" t="s">
        <v>402</v>
      </c>
      <c r="C3" s="258"/>
      <c r="D3" s="258"/>
      <c r="E3" s="258"/>
      <c r="F3" s="258"/>
      <c r="G3" s="258"/>
      <c r="H3" s="258"/>
      <c r="I3" s="258"/>
      <c r="J3" s="258"/>
      <c r="K3" s="258"/>
      <c r="L3" s="258"/>
      <c r="M3" s="258"/>
      <c r="N3" s="258"/>
      <c r="O3" s="258"/>
      <c r="P3" s="258"/>
    </row>
    <row r="4" spans="1:16" ht="25.5">
      <c r="B4" s="60" t="s">
        <v>16</v>
      </c>
      <c r="C4" s="61" t="s">
        <v>17</v>
      </c>
      <c r="D4" s="61" t="s">
        <v>18</v>
      </c>
      <c r="E4" s="62" t="s">
        <v>19</v>
      </c>
      <c r="F4" s="63" t="s">
        <v>55</v>
      </c>
      <c r="G4" s="61" t="s">
        <v>21</v>
      </c>
      <c r="H4" s="61" t="s">
        <v>56</v>
      </c>
      <c r="I4" s="61" t="s">
        <v>23</v>
      </c>
      <c r="J4" s="62" t="s">
        <v>24</v>
      </c>
      <c r="K4" s="63" t="s">
        <v>57</v>
      </c>
      <c r="L4" s="64" t="s">
        <v>26</v>
      </c>
      <c r="M4" s="65" t="s">
        <v>27</v>
      </c>
      <c r="N4" s="66" t="s">
        <v>28</v>
      </c>
      <c r="O4" s="66" t="s">
        <v>29</v>
      </c>
      <c r="P4" s="67" t="s">
        <v>58</v>
      </c>
    </row>
    <row r="5" spans="1:16">
      <c r="B5" s="108" t="s">
        <v>403</v>
      </c>
      <c r="C5" s="108" t="s">
        <v>45</v>
      </c>
      <c r="D5" s="108" t="s">
        <v>46</v>
      </c>
      <c r="E5" s="109">
        <v>27</v>
      </c>
      <c r="F5" s="112">
        <f t="shared" ref="F5" si="0">SUM(E5*G5)</f>
        <v>4050</v>
      </c>
      <c r="G5" s="71">
        <v>150</v>
      </c>
      <c r="H5" s="240" t="s">
        <v>11</v>
      </c>
      <c r="I5" s="110"/>
      <c r="J5" s="110">
        <v>45924</v>
      </c>
      <c r="K5" s="76" t="s">
        <v>60</v>
      </c>
      <c r="L5" s="110" t="s">
        <v>404</v>
      </c>
      <c r="M5" s="110" t="s">
        <v>405</v>
      </c>
      <c r="N5" s="75">
        <f>SUM(F5*12)</f>
        <v>48600</v>
      </c>
      <c r="O5" s="76">
        <v>3</v>
      </c>
      <c r="P5" s="76" t="s">
        <v>406</v>
      </c>
    </row>
    <row r="6" spans="1:16" s="170" customFormat="1" ht="15" customHeight="1">
      <c r="A6" s="34"/>
      <c r="B6" s="68" t="s">
        <v>407</v>
      </c>
      <c r="C6" s="68" t="s">
        <v>45</v>
      </c>
      <c r="D6" s="68" t="s">
        <v>46</v>
      </c>
      <c r="E6" s="69">
        <v>38</v>
      </c>
      <c r="F6" s="70">
        <v>3800</v>
      </c>
      <c r="G6" s="71">
        <v>150</v>
      </c>
      <c r="H6" s="77" t="s">
        <v>11</v>
      </c>
      <c r="I6" s="73"/>
      <c r="J6" s="73">
        <v>45924</v>
      </c>
      <c r="K6" s="74" t="s">
        <v>60</v>
      </c>
      <c r="L6" s="73">
        <v>46185</v>
      </c>
      <c r="M6" s="73"/>
      <c r="N6" s="75">
        <f t="shared" ref="N6:N19" si="1">SUM(F6*12)</f>
        <v>45600</v>
      </c>
      <c r="O6" s="74">
        <v>5</v>
      </c>
      <c r="P6" s="76" t="s">
        <v>408</v>
      </c>
    </row>
    <row r="7" spans="1:16" s="170" customFormat="1" ht="15" customHeight="1">
      <c r="A7" s="34"/>
      <c r="B7" s="68" t="s">
        <v>409</v>
      </c>
      <c r="C7" s="68" t="s">
        <v>32</v>
      </c>
      <c r="D7" s="68" t="s">
        <v>46</v>
      </c>
      <c r="E7" s="69">
        <v>25</v>
      </c>
      <c r="F7" s="70">
        <f t="shared" ref="F7:F20" si="2">SUM(G7*E7)</f>
        <v>3750</v>
      </c>
      <c r="G7" s="71">
        <v>150</v>
      </c>
      <c r="H7" s="77" t="s">
        <v>11</v>
      </c>
      <c r="I7" s="73"/>
      <c r="J7" s="73">
        <v>46126</v>
      </c>
      <c r="K7" s="74" t="s">
        <v>60</v>
      </c>
      <c r="L7" s="73">
        <v>46184</v>
      </c>
      <c r="M7" s="73">
        <v>46427</v>
      </c>
      <c r="N7" s="75">
        <f t="shared" si="1"/>
        <v>45000</v>
      </c>
      <c r="O7" s="74">
        <v>5</v>
      </c>
      <c r="P7" s="76" t="s">
        <v>410</v>
      </c>
    </row>
    <row r="8" spans="1:16" s="30" customFormat="1" ht="15" customHeight="1">
      <c r="A8" s="4"/>
      <c r="B8" s="68" t="s">
        <v>411</v>
      </c>
      <c r="C8" s="68" t="s">
        <v>32</v>
      </c>
      <c r="D8" s="68" t="s">
        <v>46</v>
      </c>
      <c r="E8" s="69">
        <v>70</v>
      </c>
      <c r="F8" s="70">
        <f t="shared" si="2"/>
        <v>10500</v>
      </c>
      <c r="G8" s="71">
        <v>150</v>
      </c>
      <c r="H8" s="72" t="s">
        <v>11</v>
      </c>
      <c r="I8" s="73"/>
      <c r="J8" s="73">
        <v>46140</v>
      </c>
      <c r="K8" s="74" t="s">
        <v>34</v>
      </c>
      <c r="L8" s="73">
        <v>46149</v>
      </c>
      <c r="M8" s="73" t="s">
        <v>405</v>
      </c>
      <c r="N8" s="75">
        <f t="shared" si="1"/>
        <v>126000</v>
      </c>
      <c r="O8" s="74">
        <v>2</v>
      </c>
      <c r="P8" s="76" t="s">
        <v>412</v>
      </c>
    </row>
    <row r="9" spans="1:16" s="30" customFormat="1" ht="15" customHeight="1">
      <c r="A9" s="11"/>
      <c r="B9" s="68" t="s">
        <v>413</v>
      </c>
      <c r="C9" s="68" t="s">
        <v>45</v>
      </c>
      <c r="D9" s="68" t="s">
        <v>46</v>
      </c>
      <c r="E9" s="69">
        <v>120</v>
      </c>
      <c r="F9" s="70">
        <f t="shared" si="2"/>
        <v>18000</v>
      </c>
      <c r="G9" s="71">
        <v>150</v>
      </c>
      <c r="H9" s="82" t="s">
        <v>11</v>
      </c>
      <c r="I9" s="73"/>
      <c r="J9" s="73">
        <v>46140</v>
      </c>
      <c r="K9" s="74" t="s">
        <v>34</v>
      </c>
      <c r="L9" s="73">
        <v>46140</v>
      </c>
      <c r="M9" s="73" t="s">
        <v>405</v>
      </c>
      <c r="N9" s="75">
        <f t="shared" si="1"/>
        <v>216000</v>
      </c>
      <c r="O9" s="74">
        <v>1</v>
      </c>
      <c r="P9" s="76" t="s">
        <v>414</v>
      </c>
    </row>
    <row r="10" spans="1:16" s="30" customFormat="1" ht="15" customHeight="1">
      <c r="A10" s="11"/>
      <c r="B10" s="241" t="s">
        <v>415</v>
      </c>
      <c r="C10" s="68" t="s">
        <v>32</v>
      </c>
      <c r="D10" s="68" t="s">
        <v>46</v>
      </c>
      <c r="E10" s="69">
        <v>110</v>
      </c>
      <c r="F10" s="70">
        <f t="shared" si="2"/>
        <v>16500</v>
      </c>
      <c r="G10" s="71">
        <v>150</v>
      </c>
      <c r="H10" s="82" t="s">
        <v>11</v>
      </c>
      <c r="I10" s="73"/>
      <c r="J10" s="73">
        <v>46140</v>
      </c>
      <c r="K10" s="74" t="s">
        <v>34</v>
      </c>
      <c r="L10" s="73">
        <v>46157</v>
      </c>
      <c r="M10" s="73" t="s">
        <v>405</v>
      </c>
      <c r="N10" s="75">
        <f t="shared" si="1"/>
        <v>198000</v>
      </c>
      <c r="O10" s="74">
        <v>2</v>
      </c>
      <c r="P10" s="76" t="s">
        <v>416</v>
      </c>
    </row>
    <row r="11" spans="1:16" s="30" customFormat="1" ht="15" customHeight="1">
      <c r="A11" s="11"/>
      <c r="B11" s="68" t="s">
        <v>417</v>
      </c>
      <c r="C11" s="68" t="s">
        <v>32</v>
      </c>
      <c r="D11" s="68" t="s">
        <v>46</v>
      </c>
      <c r="E11" s="69">
        <v>110</v>
      </c>
      <c r="F11" s="70">
        <f t="shared" si="2"/>
        <v>16500</v>
      </c>
      <c r="G11" s="71">
        <v>150</v>
      </c>
      <c r="H11" s="72" t="s">
        <v>11</v>
      </c>
      <c r="I11" s="73"/>
      <c r="J11" s="73">
        <v>46141</v>
      </c>
      <c r="K11" s="74" t="s">
        <v>34</v>
      </c>
      <c r="L11" s="73">
        <v>46154</v>
      </c>
      <c r="M11" s="73"/>
      <c r="N11" s="75">
        <f t="shared" si="1"/>
        <v>198000</v>
      </c>
      <c r="O11" s="74">
        <v>2</v>
      </c>
      <c r="P11" s="76" t="s">
        <v>414</v>
      </c>
    </row>
    <row r="12" spans="1:16" s="30" customFormat="1" ht="15" customHeight="1">
      <c r="A12" s="11"/>
      <c r="B12" s="68" t="s">
        <v>418</v>
      </c>
      <c r="C12" s="68" t="s">
        <v>45</v>
      </c>
      <c r="D12" s="68" t="s">
        <v>46</v>
      </c>
      <c r="E12" s="69">
        <v>40</v>
      </c>
      <c r="F12" s="70">
        <f t="shared" si="2"/>
        <v>6000</v>
      </c>
      <c r="G12" s="71">
        <v>150</v>
      </c>
      <c r="H12" s="72" t="s">
        <v>11</v>
      </c>
      <c r="I12" s="73"/>
      <c r="J12" s="73">
        <v>46149</v>
      </c>
      <c r="K12" s="74" t="s">
        <v>34</v>
      </c>
      <c r="L12" s="73">
        <v>46161</v>
      </c>
      <c r="M12" s="73" t="s">
        <v>405</v>
      </c>
      <c r="N12" s="75">
        <f t="shared" si="1"/>
        <v>72000</v>
      </c>
      <c r="O12" s="74">
        <v>2</v>
      </c>
      <c r="P12" s="76" t="s">
        <v>419</v>
      </c>
    </row>
    <row r="13" spans="1:16" s="30" customFormat="1" ht="15" customHeight="1">
      <c r="A13" s="11"/>
      <c r="B13" s="68" t="s">
        <v>420</v>
      </c>
      <c r="C13" s="68" t="s">
        <v>45</v>
      </c>
      <c r="D13" s="68" t="s">
        <v>46</v>
      </c>
      <c r="E13" s="69">
        <v>40</v>
      </c>
      <c r="F13" s="70">
        <f t="shared" si="2"/>
        <v>6000</v>
      </c>
      <c r="G13" s="71">
        <v>150</v>
      </c>
      <c r="H13" s="72" t="s">
        <v>11</v>
      </c>
      <c r="I13" s="73"/>
      <c r="J13" s="73">
        <v>46149</v>
      </c>
      <c r="K13" s="74" t="s">
        <v>34</v>
      </c>
      <c r="L13" s="73">
        <v>46174</v>
      </c>
      <c r="M13" s="73">
        <v>46184</v>
      </c>
      <c r="N13" s="75">
        <f t="shared" si="1"/>
        <v>72000</v>
      </c>
      <c r="O13" s="74">
        <v>5</v>
      </c>
      <c r="P13" s="76" t="s">
        <v>421</v>
      </c>
    </row>
    <row r="14" spans="1:16" s="30" customFormat="1" ht="15" customHeight="1">
      <c r="A14" s="11"/>
      <c r="B14" s="68" t="s">
        <v>422</v>
      </c>
      <c r="C14" s="68" t="s">
        <v>45</v>
      </c>
      <c r="D14" s="68" t="s">
        <v>46</v>
      </c>
      <c r="E14" s="69">
        <v>39</v>
      </c>
      <c r="F14" s="70">
        <f t="shared" si="2"/>
        <v>5850</v>
      </c>
      <c r="G14" s="71">
        <v>150</v>
      </c>
      <c r="H14" s="72" t="s">
        <v>11</v>
      </c>
      <c r="I14" s="73"/>
      <c r="J14" s="73">
        <v>46149</v>
      </c>
      <c r="K14" s="74" t="s">
        <v>34</v>
      </c>
      <c r="L14" s="73">
        <v>46164</v>
      </c>
      <c r="M14" s="73" t="s">
        <v>405</v>
      </c>
      <c r="N14" s="75">
        <f t="shared" si="1"/>
        <v>70200</v>
      </c>
      <c r="O14" s="74">
        <v>2</v>
      </c>
      <c r="P14" s="76" t="s">
        <v>423</v>
      </c>
    </row>
    <row r="15" spans="1:16" s="172" customFormat="1" ht="15" customHeight="1">
      <c r="A15" s="171"/>
      <c r="B15" s="223" t="s">
        <v>424</v>
      </c>
      <c r="C15" s="68" t="s">
        <v>45</v>
      </c>
      <c r="D15" s="68" t="s">
        <v>46</v>
      </c>
      <c r="E15" s="174">
        <v>53</v>
      </c>
      <c r="F15" s="70">
        <f t="shared" si="2"/>
        <v>7950</v>
      </c>
      <c r="G15" s="71">
        <v>150</v>
      </c>
      <c r="H15" s="72" t="s">
        <v>11</v>
      </c>
      <c r="I15" s="73"/>
      <c r="J15" s="73">
        <v>46160</v>
      </c>
      <c r="K15" s="74" t="s">
        <v>34</v>
      </c>
      <c r="L15" s="73">
        <v>46160</v>
      </c>
      <c r="M15" s="73" t="s">
        <v>405</v>
      </c>
      <c r="N15" s="75">
        <f t="shared" si="1"/>
        <v>95400</v>
      </c>
      <c r="O15" s="74">
        <v>1</v>
      </c>
      <c r="P15" s="76" t="s">
        <v>425</v>
      </c>
    </row>
    <row r="16" spans="1:16" s="172" customFormat="1" ht="15" customHeight="1">
      <c r="A16" s="171"/>
      <c r="B16" s="223" t="s">
        <v>426</v>
      </c>
      <c r="C16" s="68" t="s">
        <v>45</v>
      </c>
      <c r="D16" s="68" t="s">
        <v>46</v>
      </c>
      <c r="E16" s="174">
        <v>50</v>
      </c>
      <c r="F16" s="70">
        <f t="shared" si="2"/>
        <v>7500</v>
      </c>
      <c r="G16" s="71">
        <v>150</v>
      </c>
      <c r="H16" s="72" t="s">
        <v>11</v>
      </c>
      <c r="I16" s="73"/>
      <c r="J16" s="73">
        <v>46160</v>
      </c>
      <c r="K16" s="74" t="s">
        <v>34</v>
      </c>
      <c r="L16" s="73">
        <v>46175</v>
      </c>
      <c r="M16" s="73">
        <v>46177</v>
      </c>
      <c r="N16" s="75">
        <f t="shared" si="1"/>
        <v>90000</v>
      </c>
      <c r="O16" s="74">
        <v>3</v>
      </c>
      <c r="P16" s="76" t="s">
        <v>427</v>
      </c>
    </row>
    <row r="17" spans="1:16" s="172" customFormat="1" ht="15" customHeight="1">
      <c r="A17" s="171"/>
      <c r="B17" s="242" t="s">
        <v>246</v>
      </c>
      <c r="C17" s="68" t="s">
        <v>45</v>
      </c>
      <c r="D17" s="68" t="s">
        <v>46</v>
      </c>
      <c r="E17" s="239">
        <v>59</v>
      </c>
      <c r="F17" s="70">
        <f t="shared" si="2"/>
        <v>8850</v>
      </c>
      <c r="G17" s="71">
        <v>150</v>
      </c>
      <c r="H17" s="72" t="s">
        <v>11</v>
      </c>
      <c r="I17" s="73"/>
      <c r="J17" s="73">
        <v>46181</v>
      </c>
      <c r="K17" s="74" t="s">
        <v>34</v>
      </c>
      <c r="L17" s="73">
        <v>46184</v>
      </c>
      <c r="M17" s="73"/>
      <c r="N17" s="75">
        <f t="shared" si="1"/>
        <v>106200</v>
      </c>
      <c r="O17" s="74">
        <v>1</v>
      </c>
      <c r="P17" s="76" t="s">
        <v>247</v>
      </c>
    </row>
    <row r="18" spans="1:16" s="172" customFormat="1" ht="15" customHeight="1">
      <c r="A18" s="171"/>
      <c r="B18" s="266" t="s">
        <v>145</v>
      </c>
      <c r="C18" s="266" t="s">
        <v>45</v>
      </c>
      <c r="D18" s="266" t="s">
        <v>46</v>
      </c>
      <c r="E18" s="272">
        <v>40</v>
      </c>
      <c r="F18" s="267">
        <f t="shared" si="2"/>
        <v>6000</v>
      </c>
      <c r="G18" s="71">
        <v>150</v>
      </c>
      <c r="H18" s="275" t="s">
        <v>11</v>
      </c>
      <c r="I18" s="110"/>
      <c r="J18" s="110">
        <v>46149</v>
      </c>
      <c r="K18" s="268" t="s">
        <v>34</v>
      </c>
      <c r="L18" s="110">
        <v>46161</v>
      </c>
      <c r="M18" s="110">
        <v>46230</v>
      </c>
      <c r="N18" s="75">
        <f t="shared" si="1"/>
        <v>72000</v>
      </c>
      <c r="O18" s="268">
        <v>3</v>
      </c>
      <c r="P18" s="268" t="s">
        <v>146</v>
      </c>
    </row>
    <row r="19" spans="1:16" s="172" customFormat="1" ht="15" customHeight="1">
      <c r="A19" s="171"/>
      <c r="B19" s="266" t="s">
        <v>101</v>
      </c>
      <c r="C19" s="266" t="s">
        <v>45</v>
      </c>
      <c r="D19" s="266" t="s">
        <v>46</v>
      </c>
      <c r="E19" s="272">
        <v>120</v>
      </c>
      <c r="F19" s="267">
        <f t="shared" si="2"/>
        <v>18000</v>
      </c>
      <c r="G19" s="71">
        <v>150</v>
      </c>
      <c r="H19" s="72" t="s">
        <v>11</v>
      </c>
      <c r="I19" s="263"/>
      <c r="J19" s="110">
        <v>46140</v>
      </c>
      <c r="K19" s="268" t="s">
        <v>34</v>
      </c>
      <c r="L19" s="110">
        <v>46197</v>
      </c>
      <c r="M19" s="110"/>
      <c r="N19" s="75">
        <f t="shared" si="1"/>
        <v>216000</v>
      </c>
      <c r="O19" s="268">
        <v>8</v>
      </c>
      <c r="P19" s="268" t="s">
        <v>431</v>
      </c>
    </row>
    <row r="20" spans="1:16" s="172" customFormat="1" ht="15" customHeight="1">
      <c r="A20" s="171"/>
      <c r="B20" s="266" t="s">
        <v>150</v>
      </c>
      <c r="C20" s="266" t="s">
        <v>45</v>
      </c>
      <c r="D20" s="266" t="s">
        <v>46</v>
      </c>
      <c r="E20" s="272">
        <v>40</v>
      </c>
      <c r="F20" s="267">
        <f t="shared" si="2"/>
        <v>6000</v>
      </c>
      <c r="G20" s="71">
        <v>150</v>
      </c>
      <c r="H20" s="275" t="s">
        <v>11</v>
      </c>
      <c r="I20" s="110"/>
      <c r="J20" s="110">
        <v>46149</v>
      </c>
      <c r="K20" s="268" t="s">
        <v>34</v>
      </c>
      <c r="L20" s="110">
        <v>46190</v>
      </c>
      <c r="M20" s="110"/>
      <c r="N20" s="271">
        <f>SUM(Prospects5[[#This Row],[Column5]]*12)</f>
        <v>32400</v>
      </c>
      <c r="O20" s="268">
        <v>6</v>
      </c>
      <c r="P20" s="268" t="s">
        <v>151</v>
      </c>
    </row>
    <row r="21" spans="1:16" ht="15.75" thickBot="1">
      <c r="B21" s="244" t="s">
        <v>301</v>
      </c>
      <c r="C21" s="244"/>
      <c r="D21" s="244"/>
      <c r="E21" s="245">
        <f>SUM(E5:E20)</f>
        <v>981</v>
      </c>
      <c r="F21" s="246">
        <f>SUM(F5:F20)</f>
        <v>145250</v>
      </c>
      <c r="G21" s="247">
        <f>AVERAGE(G5:G17)</f>
        <v>150</v>
      </c>
      <c r="H21" s="248"/>
      <c r="I21" s="249"/>
      <c r="J21" s="249"/>
      <c r="K21" s="250"/>
      <c r="L21" s="249"/>
      <c r="M21" s="250"/>
      <c r="N21" s="246">
        <f>SUM(N5:N20)</f>
        <v>1703400</v>
      </c>
      <c r="O21" s="250"/>
      <c r="P21" s="243"/>
    </row>
  </sheetData>
  <mergeCells count="1">
    <mergeCell ref="B3:P3"/>
  </mergeCells>
  <conditionalFormatting sqref="H5:H17 H19">
    <cfRule type="containsText" dxfId="23" priority="17" operator="containsText" text="could not reach">
      <formula>NOT(ISERROR(SEARCH("could not reach",H5)))</formula>
    </cfRule>
    <cfRule type="containsText" dxfId="22" priority="18" operator="containsText" text="Need more info">
      <formula>NOT(ISERROR(SEARCH("Need more info",H5)))</formula>
    </cfRule>
    <cfRule type="containsText" dxfId="21" priority="19" operator="containsText" text="Not a Fit">
      <formula>NOT(ISERROR(SEARCH("Not a Fit",H5)))</formula>
    </cfRule>
    <cfRule type="containsText" dxfId="20" priority="20" operator="containsText" text="Warm 250">
      <formula>NOT(ISERROR(SEARCH("Warm 250",H5)))</formula>
    </cfRule>
    <cfRule type="containsText" dxfId="19" priority="21" operator="containsText" text="prospect">
      <formula>NOT(ISERROR(SEARCH("prospect",H5)))</formula>
    </cfRule>
    <cfRule type="containsText" dxfId="18" priority="22" operator="containsText" text="suspect">
      <formula>NOT(ISERROR(SEARCH("suspect",H5)))</formula>
    </cfRule>
    <cfRule type="cellIs" dxfId="17" priority="23" operator="equal">
      <formula>"Suspect"</formula>
    </cfRule>
    <cfRule type="cellIs" dxfId="16" priority="24" operator="equal">
      <formula>"suspect"</formula>
    </cfRule>
  </conditionalFormatting>
  <conditionalFormatting sqref="H18">
    <cfRule type="containsText" dxfId="15" priority="9" operator="containsText" text="could not reach">
      <formula>NOT(ISERROR(SEARCH("could not reach",H18)))</formula>
    </cfRule>
    <cfRule type="containsText" dxfId="14" priority="10" operator="containsText" text="Need more info">
      <formula>NOT(ISERROR(SEARCH("Need more info",H18)))</formula>
    </cfRule>
    <cfRule type="containsText" dxfId="13" priority="11" operator="containsText" text="Not a Fit">
      <formula>NOT(ISERROR(SEARCH("Not a Fit",H18)))</formula>
    </cfRule>
    <cfRule type="containsText" dxfId="12" priority="12" operator="containsText" text="Warm 250">
      <formula>NOT(ISERROR(SEARCH("Warm 250",H18)))</formula>
    </cfRule>
    <cfRule type="containsText" dxfId="11" priority="13" operator="containsText" text="prospect">
      <formula>NOT(ISERROR(SEARCH("prospect",H18)))</formula>
    </cfRule>
    <cfRule type="containsText" dxfId="10" priority="14" operator="containsText" text="suspect">
      <formula>NOT(ISERROR(SEARCH("suspect",H18)))</formula>
    </cfRule>
    <cfRule type="cellIs" dxfId="9" priority="15" operator="equal">
      <formula>"Suspect"</formula>
    </cfRule>
    <cfRule type="cellIs" dxfId="8" priority="16" operator="equal">
      <formula>"suspect"</formula>
    </cfRule>
  </conditionalFormatting>
  <conditionalFormatting sqref="H20">
    <cfRule type="containsText" dxfId="7" priority="1" operator="containsText" text="could not reach">
      <formula>NOT(ISERROR(SEARCH("could not reach",H20)))</formula>
    </cfRule>
    <cfRule type="containsText" dxfId="6" priority="2" operator="containsText" text="Need more info">
      <formula>NOT(ISERROR(SEARCH("Need more info",H20)))</formula>
    </cfRule>
    <cfRule type="containsText" dxfId="5" priority="3" operator="containsText" text="Not a Fit">
      <formula>NOT(ISERROR(SEARCH("Not a Fit",H20)))</formula>
    </cfRule>
    <cfRule type="containsText" dxfId="4" priority="4" operator="containsText" text="Warm 250">
      <formula>NOT(ISERROR(SEARCH("Warm 250",H20)))</formula>
    </cfRule>
    <cfRule type="containsText" dxfId="3" priority="5" operator="containsText" text="prospect">
      <formula>NOT(ISERROR(SEARCH("prospect",H20)))</formula>
    </cfRule>
    <cfRule type="containsText" dxfId="2" priority="6" operator="containsText" text="suspect">
      <formula>NOT(ISERROR(SEARCH("suspect",H20)))</formula>
    </cfRule>
    <cfRule type="cellIs" dxfId="1" priority="7" operator="equal">
      <formula>"Suspect"</formula>
    </cfRule>
    <cfRule type="cellIs" dxfId="0" priority="8" operator="equal">
      <formula>"suspect"</formula>
    </cfRule>
  </conditionalFormatting>
  <dataValidations count="2">
    <dataValidation type="list" allowBlank="1" showInputMessage="1" showErrorMessage="1" sqref="H5:H17 H19" xr:uid="{25248782-9D26-49F5-932E-51F8D7432FF4}">
      <formula1>$Z$1:$Z$8</formula1>
    </dataValidation>
    <dataValidation type="list" allowBlank="1" showInputMessage="1" showErrorMessage="1" sqref="H18 H20" xr:uid="{6B8E91CB-D7EE-47D8-9BC6-93ED3F599F46}">
      <formula1>$AA$1:$AA$8</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C58FA680E1E264F928987595B066DD0" ma:contentTypeVersion="22" ma:contentTypeDescription="Create a new document." ma:contentTypeScope="" ma:versionID="746e6f68966316fb71fa89a242492ac8">
  <xsd:schema xmlns:xsd="http://www.w3.org/2001/XMLSchema" xmlns:xs="http://www.w3.org/2001/XMLSchema" xmlns:p="http://schemas.microsoft.com/office/2006/metadata/properties" xmlns:ns2="343480db-35c5-478b-8ef9-2c452a79a9c0" xmlns:ns3="fef16cf3-4cdf-4bba-83a5-26df5814564d" targetNamespace="http://schemas.microsoft.com/office/2006/metadata/properties" ma:root="true" ma:fieldsID="16c574043e270b6b62b173b5f82c6299" ns2:_="" ns3:_="">
    <xsd:import namespace="343480db-35c5-478b-8ef9-2c452a79a9c0"/>
    <xsd:import namespace="fef16cf3-4cdf-4bba-83a5-26df5814564d"/>
    <xsd:element name="properties">
      <xsd:complexType>
        <xsd:sequence>
          <xsd:element name="documentManagement">
            <xsd:complexType>
              <xsd:all>
                <xsd:element ref="ns2:SharedWithUsers" minOccurs="0"/>
                <xsd:element ref="ns2:SharingHintHash"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Location"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_Flow_SignoffStatus" minOccurs="0"/>
                <xsd:element ref="ns3:MediaLengthInSeconds" minOccurs="0"/>
                <xsd:element ref="ns3:MediaServiceSearchProperties" minOccurs="0"/>
                <xsd:element ref="ns3:MediaServiceObjectDetectorVersion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3480db-35c5-478b-8ef9-2c452a79a9c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element name="SharedWithDetails" ma:index="10" nillable="true" ma:displayName="Shared With Details" ma:description="" ma:internalName="SharedWithDetails" ma:readOnly="true">
      <xsd:simpleType>
        <xsd:restriction base="dms:Note">
          <xsd:maxLength value="255"/>
        </xsd:restriction>
      </xsd:simpleType>
    </xsd:element>
    <xsd:element name="LastSharedByUser" ma:index="11" nillable="true" ma:displayName="Last Shared By User" ma:description="" ma:internalName="LastSharedByUser" ma:readOnly="true">
      <xsd:simpleType>
        <xsd:restriction base="dms:Note">
          <xsd:maxLength value="255"/>
        </xsd:restriction>
      </xsd:simpleType>
    </xsd:element>
    <xsd:element name="LastSharedByTime" ma:index="12" nillable="true" ma:displayName="Last Shared By Time" ma:description="" ma:internalName="LastSharedByTime" ma:readOnly="true">
      <xsd:simpleType>
        <xsd:restriction base="dms:DateTime"/>
      </xsd:simpleType>
    </xsd:element>
    <xsd:element name="TaxCatchAll" ma:index="29" nillable="true" ma:displayName="Taxonomy Catch All Column" ma:hidden="true" ma:list="{15688c53-515f-4b97-8a2d-00bb977d2bb1}" ma:internalName="TaxCatchAll" ma:showField="CatchAllData" ma:web="343480db-35c5-478b-8ef9-2c452a79a9c0">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ef16cf3-4cdf-4bba-83a5-26df5814564d" elementFormDefault="qualified">
    <xsd:import namespace="http://schemas.microsoft.com/office/2006/documentManagement/types"/>
    <xsd:import namespace="http://schemas.microsoft.com/office/infopath/2007/PartnerControls"/>
    <xsd:element name="MediaServiceMetadata" ma:index="13" nillable="true" ma:displayName="MediaServiceMetadata" ma:description="" ma:hidden="true" ma:internalName="MediaServiceMetadata" ma:readOnly="true">
      <xsd:simpleType>
        <xsd:restriction base="dms:Note"/>
      </xsd:simpleType>
    </xsd:element>
    <xsd:element name="MediaServiceFastMetadata" ma:index="14" nillable="true" ma:displayName="MediaServiceFastMetadata" ma:description=""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Tags" ma:index="17" nillable="true" ma:displayName="Tags" ma:internalName="MediaServiceAutoTag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_Flow_SignoffStatus" ma:index="23" nillable="true" ma:displayName="Sign-off status" ma:internalName="Sign_x002d_off_x0020_status">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93b3f0d1-76dc-4ffb-89ed-1e6f372b8f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ef16cf3-4cdf-4bba-83a5-26df5814564d">
      <Terms xmlns="http://schemas.microsoft.com/office/infopath/2007/PartnerControls"/>
    </lcf76f155ced4ddcb4097134ff3c332f>
    <TaxCatchAll xmlns="343480db-35c5-478b-8ef9-2c452a79a9c0" xsi:nil="true"/>
    <_Flow_SignoffStatus xmlns="fef16cf3-4cdf-4bba-83a5-26df5814564d" xsi:nil="true"/>
  </documentManagement>
</p:properties>
</file>

<file path=customXml/itemProps1.xml><?xml version="1.0" encoding="utf-8"?>
<ds:datastoreItem xmlns:ds="http://schemas.openxmlformats.org/officeDocument/2006/customXml" ds:itemID="{211B658A-AA18-4F6B-9548-293E7EF517F3}">
  <ds:schemaRefs>
    <ds:schemaRef ds:uri="http://schemas.microsoft.com/sharepoint/v3/contenttype/forms"/>
  </ds:schemaRefs>
</ds:datastoreItem>
</file>

<file path=customXml/itemProps2.xml><?xml version="1.0" encoding="utf-8"?>
<ds:datastoreItem xmlns:ds="http://schemas.openxmlformats.org/officeDocument/2006/customXml" ds:itemID="{F4454931-9DF5-42EC-8250-878FA74E91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3480db-35c5-478b-8ef9-2c452a79a9c0"/>
    <ds:schemaRef ds:uri="fef16cf3-4cdf-4bba-83a5-26df5814564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CC8B559-1789-4F6D-9A7B-61221D037E32}">
  <ds:schemaRefs>
    <ds:schemaRef ds:uri="http://schemas.microsoft.com/office/2006/metadata/properties"/>
    <ds:schemaRef ds:uri="http://schemas.microsoft.com/office/infopath/2007/PartnerControls"/>
    <ds:schemaRef ds:uri="fef16cf3-4cdf-4bba-83a5-26df5814564d"/>
    <ds:schemaRef ds:uri="343480db-35c5-478b-8ef9-2c452a79a9c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PBR</vt:lpstr>
      <vt:lpstr>Warm 250</vt:lpstr>
      <vt:lpstr>Not Right Now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peter</dc:creator>
  <cp:keywords/>
  <dc:description/>
  <cp:lastModifiedBy>Connor Hayes</cp:lastModifiedBy>
  <cp:revision/>
  <dcterms:created xsi:type="dcterms:W3CDTF">2020-05-20T13:51:36Z</dcterms:created>
  <dcterms:modified xsi:type="dcterms:W3CDTF">2026-06-29T10:40:43Z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0x0101001C58FA680E1E264F928987595B066DD0</vt:lpwstr>
  </property>
  <property fmtid="{D5CDD505-2E9C-101B-9397-08002B2CF9AE}" pid="3" name="MediaServiceImageTags">
    <vt:lpwstr/>
  </property>
</Properties>
</file>